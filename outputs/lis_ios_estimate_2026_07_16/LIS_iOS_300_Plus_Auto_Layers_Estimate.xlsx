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ummary" sheetId="1" state="visible" r:id="rId3"/>
    <sheet name="Detailed Estimate" sheetId="2" state="visible" r:id="rId4"/>
    <sheet name="Auto Layers Update" sheetId="3" state="visible" r:id="rId5"/>
    <sheet name="Assumptions" sheetId="4" state="visible" r:id="rId6"/>
    <sheet name="Final Decision iOS" sheetId="5" state="visible" r:id="rId7"/>
    <sheet name="Windows Layers auto updates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<sst xmlns="http://schemas.openxmlformats.org/spreadsheetml/2006/main" count="210" uniqueCount="177">
  <si>
    <t xml:space="preserve">LIS iOS Implementation Estimate</t>
  </si>
  <si>
    <t xml:space="preserve">300-hour core iOS app + separate 35-hour automatic TPK/layers update module</t>
  </si>
  <si>
    <t xml:space="preserve">CORE IOS APP</t>
  </si>
  <si>
    <t xml:space="preserve">AUTO UPDATE</t>
  </si>
  <si>
    <t xml:space="preserve">COMBINED BASELINE</t>
  </si>
  <si>
    <t xml:space="preserve">BUFFERED TOTAL</t>
  </si>
  <si>
    <t xml:space="preserve">Schedule Metric</t>
  </si>
  <si>
    <t xml:space="preserve">Value</t>
  </si>
  <si>
    <t xml:space="preserve">Workstream</t>
  </si>
  <si>
    <t xml:space="preserve">Hours</t>
  </si>
  <si>
    <t xml:space="preserve">% Total</t>
  </si>
  <si>
    <t xml:space="preserve">Productive hours / week</t>
  </si>
  <si>
    <t xml:space="preserve">Foundation</t>
  </si>
  <si>
    <t xml:space="preserve">Core app working weeks</t>
  </si>
  <si>
    <t xml:space="preserve">Access &amp; Data</t>
  </si>
  <si>
    <t xml:space="preserve">Combined baseline weeks</t>
  </si>
  <si>
    <t xml:space="preserve">Map &amp; Field Workflow</t>
  </si>
  <si>
    <t xml:space="preserve">Buffered working weeks</t>
  </si>
  <si>
    <t xml:space="preserve">Reliability &amp; Delivery</t>
  </si>
  <si>
    <t xml:space="preserve">Buffered calendar months</t>
  </si>
  <si>
    <t xml:space="preserve">Auto Layers Update</t>
  </si>
  <si>
    <t xml:space="preserve">Testing &amp; Release</t>
  </si>
  <si>
    <t xml:space="preserve">Key Scope Notes</t>
  </si>
  <si>
    <t xml:space="preserve">• The core iOS application is estimated at 300 hours; automatic monthly map/layer updates add 35 hours separately.</t>
  </si>
  <si>
    <t xml:space="preserve">• Existing stable APIs, known LIS Desktop/Web behavior and AI development tools are reflected in the estimate.</t>
  </si>
  <si>
    <t xml:space="preserve">• The combined baseline is 335 hours; the 15% contingency is shown separately and produces the buffered total.</t>
  </si>
  <si>
    <t xml:space="preserve">• Calendar duration depends on device access, review cycles, API stability and field-test availability.</t>
  </si>
  <si>
    <t xml:space="preserve">LIS iOS — Greenfield Implementation Estimate</t>
  </si>
  <si>
    <t xml:space="preserve">Core iOS application target: 300 hours. Automatic map/layer updates are estimated separately.</t>
  </si>
  <si>
    <t xml:space="preserve">ID</t>
  </si>
  <si>
    <t xml:space="preserve">Module</t>
  </si>
  <si>
    <t xml:space="preserve">Scope / Included Work</t>
  </si>
  <si>
    <t xml:space="preserve">Primary Deliverable</t>
  </si>
  <si>
    <t xml:space="preserve">Dependency</t>
  </si>
  <si>
    <t xml:space="preserve">Risk</t>
  </si>
  <si>
    <t xml:space="preserve">Project Setup &amp; Release Foundation</t>
  </si>
  <si>
    <t xml:space="preserve">Xcode project, environments, dependency setup, configuration, signing baseline and app structure.</t>
  </si>
  <si>
    <t xml:space="preserve">Buildable project foundation</t>
  </si>
  <si>
    <t xml:space="preserve">Apple account / Xcode</t>
  </si>
  <si>
    <t xml:space="preserve">Low</t>
  </si>
  <si>
    <t xml:space="preserve">Architecture &amp; Core Models</t>
  </si>
  <si>
    <t xml:space="preserve">App state, domain models, service/repository boundaries, shared errors and dependency injection.</t>
  </si>
  <si>
    <t xml:space="preserve">Maintainable SwiftUI architecture</t>
  </si>
  <si>
    <t xml:space="preserve">Project setup</t>
  </si>
  <si>
    <t xml:space="preserve">Authentication &amp; Regio</t>
  </si>
  <si>
    <t xml:space="preserve">Keycloak login, Keychain storage, session expiry/refresh, /auth/me, logout and regio resolution.</t>
  </si>
  <si>
    <t xml:space="preserve">Secure authenticated session</t>
  </si>
  <si>
    <t xml:space="preserve">Stable auth APIs</t>
  </si>
  <si>
    <t xml:space="preserve">Medium</t>
  </si>
  <si>
    <t xml:space="preserve">API Client &amp; DTO Mapping</t>
  </si>
  <si>
    <t xml:space="preserve">Reusable API client, request/response handling, DTOs, model mappers and authenticated calls.</t>
  </si>
  <si>
    <t xml:space="preserve">Typed API integration layer</t>
  </si>
  <si>
    <t xml:space="preserve">Authentication</t>
  </si>
  <si>
    <t xml:space="preserve">Flight Plan Selection &amp; Opening</t>
  </si>
  <si>
    <t xml:space="preserve">Fetch regional plans, list/select/open flow, download required data and create active session.</t>
  </si>
  <si>
    <t xml:space="preserve">Usable plan preparation flow</t>
  </si>
  <si>
    <t xml:space="preserve">API client</t>
  </si>
  <si>
    <t xml:space="preserve">Offline TPK/TPKX Basemap</t>
  </si>
  <si>
    <t xml:space="preserve">Import, validate, store and load offline tile packages; missing/corrupt/storage handling.</t>
  </si>
  <si>
    <t xml:space="preserve">Reliable offline basemap</t>
  </si>
  <si>
    <t xml:space="preserve">ArcGIS SDK</t>
  </si>
  <si>
    <t xml:space="preserve">Map Workspace &amp; Geometry Layers</t>
  </si>
  <si>
    <t xml:space="preserve">ArcGIS map, points, lines, polygons, symbols, selection, locked layers and map interactions.</t>
  </si>
  <si>
    <t xml:space="preserve">Operational inspection map</t>
  </si>
  <si>
    <t xml:space="preserve">Plans + basemap</t>
  </si>
  <si>
    <t xml:space="preserve">High</t>
  </si>
  <si>
    <t xml:space="preserve">Inspection Workflow</t>
  </si>
  <si>
    <t xml:space="preserve">Shared point/geometry form, notes, statuses, item colors, open-item workflow and list/map synchronization.</t>
  </si>
  <si>
    <t xml:space="preserve">Complete local inspection flow</t>
  </si>
  <si>
    <t xml:space="preserve">Map workspace</t>
  </si>
  <si>
    <t xml:space="preserve">Local Storage &amp; Recovery</t>
  </si>
  <si>
    <t xml:space="preserve">Autosave, active-session JSON, finished plans, atomic writes, restart/crash recovery and safe cleanup.</t>
  </si>
  <si>
    <t xml:space="preserve">No-loss local-first storage</t>
  </si>
  <si>
    <t xml:space="preserve">Core models</t>
  </si>
  <si>
    <t xml:space="preserve">GPS, Helicopter &amp; Flight Path</t>
  </si>
  <si>
    <t xml:space="preserve">CoreLocation permissions, current position, speed/altitude/course, red path and local track storage.</t>
  </si>
  <si>
    <t xml:space="preserve">Live flight navigation data</t>
  </si>
  <si>
    <t xml:space="preserve">Map + local storage</t>
  </si>
  <si>
    <t xml:space="preserve">Photos &amp; Attachments</t>
  </si>
  <si>
    <t xml:space="preserve">Camera, photo library/files, local originals/thumbnails, point/geometry attachment and safe retention.</t>
  </si>
  <si>
    <t xml:space="preserve">Local-first photo workflow</t>
  </si>
  <si>
    <t xml:space="preserve">Inspection + storage</t>
  </si>
  <si>
    <t xml:space="preserve">Timer &amp; Action Logs</t>
  </si>
  <si>
    <t xml:space="preserve">Start/pause/resume timer, persisted timer state, essential action logging and logs payload.</t>
  </si>
  <si>
    <t xml:space="preserve">Persisted timer and logs</t>
  </si>
  <si>
    <t xml:space="preserve">Local storage</t>
  </si>
  <si>
    <t xml:space="preserve">Finish, Upload &amp; Retry</t>
  </si>
  <si>
    <t xml:space="preserve">Afronden/Verstuur, finished local plan, ArcGIS photo upload, plan/log uploads, retry and duplicate protection.</t>
  </si>
  <si>
    <t xml:space="preserve">Reliable manual upload pipeline</t>
  </si>
  <si>
    <t xml:space="preserve">Auth + storage + photos</t>
  </si>
  <si>
    <t xml:space="preserve">Settings &amp; Critical Error Handling</t>
  </si>
  <si>
    <t xml:space="preserve">Logout, pending uploads, storage/map status, permission errors and safe destructive confirmations.</t>
  </si>
  <si>
    <t xml:space="preserve">Basic support and recovery UI</t>
  </si>
  <si>
    <t xml:space="preserve">All core modules</t>
  </si>
  <si>
    <t xml:space="preserve">Testing, Field QA &amp; TestFlight</t>
  </si>
  <si>
    <t xml:space="preserve">Unit/integration/UI tests, real iPad, offline/crash/auth/upload cases, fixes, archive and TestFlight release.</t>
  </si>
  <si>
    <t xml:space="preserve">Pilot-ready tested build</t>
  </si>
  <si>
    <t xml:space="preserve">All modules</t>
  </si>
  <si>
    <t xml:space="preserve">CORE IOS APP TOTAL</t>
  </si>
  <si>
    <t xml:space="preserve">Automatic layers update excluded</t>
  </si>
  <si>
    <t xml:space="preserve">Automatic TPK / Operational Layers Update — Separate 35-Hour Add-On</t>
  </si>
  <si>
    <t xml:space="preserve">This 35-hour module is separate from the 300-hour core iOS application estimate.</t>
  </si>
  <si>
    <t xml:space="preserve">Work Item</t>
  </si>
  <si>
    <t xml:space="preserve">Included Work</t>
  </si>
  <si>
    <t xml:space="preserve">% Auto Update</t>
  </si>
  <si>
    <t xml:space="preserve">Output</t>
  </si>
  <si>
    <t xml:space="preserve">Update Architecture</t>
  </si>
  <si>
    <t xml:space="preserve">Package/layer ownership, region strategy, version rules and update lifecycle.</t>
  </si>
  <si>
    <t xml:space="preserve">Approved update design</t>
  </si>
  <si>
    <t xml:space="preserve">Monthly Generation Job</t>
  </si>
  <si>
    <t xml:space="preserve">Scheduled server script/job that generates or publishes the new package/layer release.</t>
  </si>
  <si>
    <t xml:space="preserve">Repeatable monthly job</t>
  </si>
  <si>
    <t xml:space="preserve">Manifest &amp; Integrity Metadata</t>
  </si>
  <si>
    <t xml:space="preserve">Version, publish date, URL, size, SHA-256, minimum app version and region metadata.</t>
  </si>
  <si>
    <t xml:space="preserve">Version manifest endpoint/file</t>
  </si>
  <si>
    <t xml:space="preserve">iOS Version Check</t>
  </si>
  <si>
    <t xml:space="preserve">Check on launch/network return/manual refresh; compare installed and available versions.</t>
  </si>
  <si>
    <t xml:space="preserve">Update availability manager</t>
  </si>
  <si>
    <t xml:space="preserve">Background Download &amp; Storage</t>
  </si>
  <si>
    <t xml:space="preserve">Background URLSession, progress, space checks, temporary file and resumable behavior.</t>
  </si>
  <si>
    <t xml:space="preserve">Reliable package download</t>
  </si>
  <si>
    <t xml:space="preserve">Validation, Atomic Swap &amp; Rollback</t>
  </si>
  <si>
    <t xml:space="preserve">Verify integrity and ArcGIS load, avoid active-flight replacement, preserve last-known-good version.</t>
  </si>
  <si>
    <t xml:space="preserve">Safe activation and rollback</t>
  </si>
  <si>
    <t xml:space="preserve">Update QA &amp; Failure Scenarios</t>
  </si>
  <si>
    <t xml:space="preserve">Interrupted download, invalid manifest/package, low storage, offline mode and monthly rerun testing.</t>
  </si>
  <si>
    <t xml:space="preserve">Verified failure-safe update flow</t>
  </si>
  <si>
    <t xml:space="preserve">AUTO UPDATE TOTAL</t>
  </si>
  <si>
    <t xml:space="preserve">Excluded from 300-hour core app</t>
  </si>
  <si>
    <t xml:space="preserve">Estimate Assumptions &amp; Boundaries</t>
  </si>
  <si>
    <t xml:space="preserve">Planning Input</t>
  </si>
  <si>
    <t xml:space="preserve">Contingency</t>
  </si>
  <si>
    <t xml:space="preserve">Weeks / month</t>
  </si>
  <si>
    <t xml:space="preserve">Baseline scope starts from</t>
  </si>
  <si>
    <t xml:space="preserve">Greenfield / zero implementation</t>
  </si>
  <si>
    <t xml:space="preserve">#</t>
  </si>
  <si>
    <t xml:space="preserve">Assumption</t>
  </si>
  <si>
    <t xml:space="preserve">Included Interpretation</t>
  </si>
  <si>
    <t xml:space="preserve">Impact if False</t>
  </si>
  <si>
    <t xml:space="preserve">Existing APIs are available and stable</t>
  </si>
  <si>
    <t xml:space="preserve">No major backend redesign; endpoint contracts can be consumed from Swift.</t>
  </si>
  <si>
    <t xml:space="preserve">Add backend analysis/change hours.</t>
  </si>
  <si>
    <t xml:space="preserve">Windows/Web workflows are the functional reference</t>
  </si>
  <si>
    <t xml:space="preserve">Business rules and expected behavior are known; limited discovery is needed.</t>
  </si>
  <si>
    <t xml:space="preserve">Add product discovery and specification time.</t>
  </si>
  <si>
    <t xml:space="preserve">AI coding tools are used actively</t>
  </si>
  <si>
    <t xml:space="preserve">AI accelerates models, DTOs, SwiftUI scaffolding, refactors and test generation.</t>
  </si>
  <si>
    <t xml:space="preserve">Increase implementation hours by approximately 20–35%.</t>
  </si>
  <si>
    <t xml:space="preserve">One experienced Swift developer</t>
  </si>
  <si>
    <t xml:space="preserve">Estimate is effort, not a fixed calendar promise; parallel staffing is not assumed.</t>
  </si>
  <si>
    <t xml:space="preserve">Ramp-up or coordination changes duration.</t>
  </si>
  <si>
    <t xml:space="preserve">Auto update uses a server-side monthly schedule</t>
  </si>
  <si>
    <t xml:space="preserve">iOS checks/downloads when allowed; iOS does not guarantee exact monthly background execution.</t>
  </si>
  <si>
    <t xml:space="preserve">A different update architecture may add scope.</t>
  </si>
  <si>
    <t xml:space="preserve">TPK/TPKX package hosting is available</t>
  </si>
  <si>
    <t xml:space="preserve">A protected file location or simple endpoint can serve versioned packages and manifest.</t>
  </si>
  <si>
    <t xml:space="preserve">Add infrastructure/security implementation.</t>
  </si>
  <si>
    <t xml:space="preserve">No advanced Phase-2 extras</t>
  </si>
  <si>
    <t xml:space="preserve">No background GPS, external GNSS, advanced admin console or complex conflict resolution.</t>
  </si>
  <si>
    <t xml:space="preserve">Estimate separately if requested.</t>
  </si>
  <si>
    <t xml:space="preserve">Real-device access is available</t>
  </si>
  <si>
    <t xml:space="preserve">A Mac, test iPad and TestFlight access are available throughout development.</t>
  </si>
  <si>
    <t xml:space="preserve">External waiting time extends calendar duration.</t>
  </si>
  <si>
    <t xml:space="preserve">Reference</t>
  </si>
  <si>
    <t xml:space="preserve">URL</t>
  </si>
  <si>
    <t xml:space="preserve">Apple background downloads</t>
  </si>
  <si>
    <t xml:space="preserve">https://developer.apple.com/documentation/foundation/downloading-files-in-the-background</t>
  </si>
  <si>
    <t xml:space="preserve">Apple background processing</t>
  </si>
  <si>
    <t xml:space="preserve">https://developer.apple.com/documentation/backgroundtasks/bgprocessingtask</t>
  </si>
  <si>
    <t xml:space="preserve">ArcGIS scheduled offline updates</t>
  </si>
  <si>
    <t xml:space="preserve">https://developers.arcgis.com/swift/v200/sample-code/apply-scheduled-updates-to-preplanned-map-area/</t>
  </si>
  <si>
    <t xml:space="preserve">65-hour core iOS app + separate 15-hour automatic TPK/layers update module</t>
  </si>
  <si>
    <t xml:space="preserve">AUTO Layers UPDATE</t>
  </si>
  <si>
    <t xml:space="preserve">Auto Layers Update – Windows</t>
  </si>
  <si>
    <t xml:space="preserve">5 hours for online layers + 5 layers for offline layers</t>
  </si>
  <si>
    <t xml:space="preserve">Online Layers</t>
  </si>
  <si>
    <t xml:space="preserve">Offline Layers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</si>
</sst>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hrs&quot;"/>
    <numFmt numFmtId="166" formatCode="#,##0"/>
    <numFmt numFmtId="167" formatCode="0.0%"/>
    <numFmt numFmtId="168" formatCode="0.0"/>
    <numFmt numFmtId="169" formatCode="0%"/>
    <numFmt numFmtId="170" formatCode="0.00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16324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20"/>
      <color rgb="FF16324F"/>
      <name val="Calibri"/>
      <family val="0"/>
      <charset val="1"/>
    </font>
    <font>
      <sz val="11"/>
      <color rgb="FF1F2937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sz val="10"/>
      <color rgb="FF1F2937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i val="true"/>
      <sz val="11"/>
      <color rgb="FF16324F"/>
      <name val="Calibri"/>
      <family val="0"/>
    </font>
  </fonts>
  <fills count="7">
    <fill>
      <patternFill patternType="none"/>
    </fill>
    <fill>
      <patternFill patternType="gray125"/>
    </fill>
    <fill>
      <patternFill patternType="solid">
        <fgColor rgb="FF16324F"/>
        <bgColor rgb="FF1F2937"/>
      </patternFill>
    </fill>
    <fill>
      <patternFill patternType="solid">
        <fgColor rgb="FFEAF2FF"/>
        <bgColor rgb="FFE9F7F1"/>
      </patternFill>
    </fill>
    <fill>
      <patternFill patternType="solid">
        <fgColor rgb="FF246BFD"/>
        <bgColor rgb="FF0066CC"/>
      </patternFill>
    </fill>
    <fill>
      <patternFill patternType="solid">
        <fgColor rgb="FFFFFFFF"/>
        <bgColor rgb="FFF5F8FC"/>
      </patternFill>
    </fill>
    <fill>
      <patternFill patternType="solid">
        <fgColor rgb="FFF5F8FC"/>
        <bgColor rgb="FFE9F7F1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D8E0EA"/>
      </left>
      <right style="thin">
        <color rgb="FFD8E0EA"/>
      </right>
      <top style="thin">
        <color rgb="FFD8E0EA"/>
      </top>
      <bottom style="thin">
        <color rgb="FFD8E0EA"/>
      </bottom>
      <diagonal/>
    </border>
    <border diagonalUp="false" diagonalDown="false">
      <left/>
      <right/>
      <top/>
      <bottom style="thin">
        <color rgb="FFD8E0EA"/>
      </bottom>
      <diagonal/>
    </border>
    <border diagonalUp="false" diagonalDown="false">
      <left/>
      <right/>
      <top style="thin">
        <color rgb="FFD8E0EA"/>
      </top>
      <bottom style="thin">
        <color rgb="FFD8E0EA"/>
      </bottom>
      <diagonal/>
    </border>
    <border diagonalUp="false" diagonalDown="false">
      <left/>
      <right/>
      <top style="thin">
        <color rgb="FFD8E0EA"/>
      </top>
      <bottom/>
      <diagonal/>
    </border>
    <border diagonalUp="false" diagonalDown="false">
      <left style="thin">
        <color rgb="FFD8E0EA"/>
      </left>
      <right style="thin">
        <color rgb="FFD8E0EA"/>
      </right>
      <top style="thin">
        <color rgb="FFD8E0EA"/>
      </top>
      <bottom/>
      <diagonal/>
    </border>
    <border diagonalUp="false" diagonalDown="false">
      <left style="thin">
        <color rgb="FFD8E0EA"/>
      </left>
      <right style="thin">
        <color rgb="FFD8E0EA"/>
      </right>
      <top/>
      <bottom/>
      <diagonal/>
    </border>
    <border diagonalUp="false" diagonalDown="false">
      <left style="thin">
        <color rgb="FFD8E0EA"/>
      </left>
      <right style="thin">
        <color rgb="FFD8E0EA"/>
      </right>
      <top/>
      <bottom style="thin">
        <color rgb="FFD8E0EA"/>
      </bottom>
      <diagonal/>
    </border>
    <border diagonalUp="false" diagonalDown="false">
      <left style="thin">
        <color rgb="FFD8E0EA"/>
      </left>
      <right/>
      <top style="thin">
        <color rgb="FFD8E0EA"/>
      </top>
      <bottom style="thin">
        <color rgb="FFD8E0EA"/>
      </bottom>
      <diagonal/>
    </border>
    <border diagonalUp="false" diagonalDown="false">
      <left/>
      <right style="thin">
        <color rgb="FFD8E0EA"/>
      </right>
      <top style="thin">
        <color rgb="FFD8E0EA"/>
      </top>
      <bottom style="thin">
        <color rgb="FFD8E0EA"/>
      </bottom>
      <diagonal/>
    </border>
    <border diagonalUp="false" diagonalDown="false">
      <left style="medium">
        <color rgb="FF16324F"/>
      </left>
      <right/>
      <top style="medium">
        <color rgb="FF16324F"/>
      </top>
      <bottom style="medium">
        <color rgb="FF16324F"/>
      </bottom>
      <diagonal/>
    </border>
    <border diagonalUp="false" diagonalDown="false">
      <left/>
      <right/>
      <top style="medium">
        <color rgb="FF16324F"/>
      </top>
      <bottom style="medium">
        <color rgb="FF16324F"/>
      </bottom>
      <diagonal/>
    </border>
    <border diagonalUp="false" diagonalDown="false">
      <left/>
      <right style="medium">
        <color rgb="FF16324F"/>
      </right>
      <top style="medium">
        <color rgb="FF16324F"/>
      </top>
      <bottom style="medium">
        <color rgb="FF16324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6" borderId="2" xfId="2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1" fillId="6" borderId="2" xfId="2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3" xfId="2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1" fillId="0" borderId="3" xfId="2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6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6" borderId="3" xfId="2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1" fillId="6" borderId="3" xfId="2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6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6" borderId="4" xfId="2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11" fillId="6" borderId="4" xfId="2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2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2" borderId="1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1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ont>
        <b val="1"/>
        <color rgb="FFB42318"/>
      </font>
      <fill>
        <patternFill>
          <bgColor rgb="FFFDECEC"/>
        </patternFill>
      </fill>
    </dxf>
    <dxf>
      <font>
        <b val="1"/>
        <color rgb="FFB76E00"/>
      </font>
      <fill>
        <patternFill>
          <bgColor rgb="FFFFF4DE"/>
        </patternFill>
      </fill>
    </dxf>
    <dxf>
      <font>
        <b val="1"/>
        <color rgb="FF1B7F5A"/>
      </font>
      <fill>
        <patternFill>
          <bgColor rgb="FFE9F7F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6E00"/>
      <rgbColor rgb="FF800080"/>
      <rgbColor rgb="FF1B7F5A"/>
      <rgbColor rgb="FFC0C0C0"/>
      <rgbColor rgb="FF808080"/>
      <rgbColor rgb="FF9999FF"/>
      <rgbColor rgb="FF993366"/>
      <rgbColor rgb="FFFFF4DE"/>
      <rgbColor rgb="FFE9F7F1"/>
      <rgbColor rgb="FF660066"/>
      <rgbColor rgb="FFFF8080"/>
      <rgbColor rgb="FF0066CC"/>
      <rgbColor rgb="FFD8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F5F8FC"/>
      <rgbColor rgb="FFFDECEC"/>
      <rgbColor rgb="FF99CCFF"/>
      <rgbColor rgb="FFFF99CC"/>
      <rgbColor rgb="FFCC99FF"/>
      <rgbColor rgb="FFFFCC99"/>
      <rgbColor rgb="FF246BFD"/>
      <rgbColor rgb="FF33CCCC"/>
      <rgbColor rgb="FF99CC00"/>
      <rgbColor rgb="FFFFCC00"/>
      <rgbColor rgb="FFFF9900"/>
      <rgbColor rgb="FFFF6600"/>
      <rgbColor rgb="FF666699"/>
      <rgbColor rgb="FF969696"/>
      <rgbColor rgb="FF16324F"/>
      <rgbColor rgb="FF339966"/>
      <rgbColor rgb="FF003300"/>
      <rgbColor rgb="FF333300"/>
      <rgbColor rgb="FFB42318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K18" activeCellId="0" sqref="K18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30"/>
    <col collapsed="false" customWidth="true" hidden="false" outlineLevel="0" max="6" min="5" style="0" width="13"/>
    <col collapsed="false" customWidth="true" hidden="false" outlineLevel="0" max="8" min="7" style="0" width="15"/>
  </cols>
  <sheetData>
    <row r="1" customFormat="false" ht="3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customFormat="false" ht="15" hidden="false" customHeight="false" outlineLevel="0" collapsed="false">
      <c r="A5" s="4" t="n">
        <f aca="false">'Detailed Estimate'!D21</f>
        <v>300</v>
      </c>
      <c r="B5" s="4"/>
      <c r="C5" s="4" t="n">
        <f aca="false">'Auto Layers Update'!D13</f>
        <v>35</v>
      </c>
      <c r="D5" s="4"/>
      <c r="E5" s="4" t="n">
        <f aca="false">A5+C5</f>
        <v>335</v>
      </c>
      <c r="F5" s="4"/>
      <c r="G5" s="4" t="n">
        <f aca="false">E5*(1+Assumptions!D6)</f>
        <v>385.25</v>
      </c>
      <c r="H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8" customFormat="false" ht="15" hidden="false" customHeight="false" outlineLevel="0" collapsed="false">
      <c r="A8" s="5" t="s">
        <v>6</v>
      </c>
      <c r="B8" s="5" t="s">
        <v>7</v>
      </c>
      <c r="D8" s="6" t="s">
        <v>8</v>
      </c>
      <c r="E8" s="6" t="s">
        <v>9</v>
      </c>
      <c r="F8" s="6" t="s">
        <v>10</v>
      </c>
    </row>
    <row r="9" customFormat="false" ht="15" hidden="false" customHeight="false" outlineLevel="0" collapsed="false">
      <c r="A9" s="7" t="s">
        <v>11</v>
      </c>
      <c r="B9" s="8" t="n">
        <f aca="false">Assumptions!D5</f>
        <v>35</v>
      </c>
      <c r="D9" s="7" t="s">
        <v>12</v>
      </c>
      <c r="E9" s="8" t="n">
        <f aca="false">SUM('Detailed Estimate'!D6:D7)</f>
        <v>18</v>
      </c>
      <c r="F9" s="9" t="n">
        <f aca="false">E9/$E$5</f>
        <v>0.0537313432835821</v>
      </c>
    </row>
    <row r="10" customFormat="false" ht="15" hidden="false" customHeight="false" outlineLevel="0" collapsed="false">
      <c r="A10" s="10" t="s">
        <v>13</v>
      </c>
      <c r="B10" s="11" t="n">
        <f aca="false">A5/B9</f>
        <v>8.57142857142857</v>
      </c>
      <c r="D10" s="10" t="s">
        <v>14</v>
      </c>
      <c r="E10" s="12" t="n">
        <f aca="false">SUM('Detailed Estimate'!D8:D10)</f>
        <v>48</v>
      </c>
      <c r="F10" s="13" t="n">
        <f aca="false">E10/$E$5</f>
        <v>0.143283582089552</v>
      </c>
    </row>
    <row r="11" customFormat="false" ht="15" hidden="false" customHeight="false" outlineLevel="0" collapsed="false">
      <c r="A11" s="10" t="s">
        <v>15</v>
      </c>
      <c r="B11" s="11" t="n">
        <f aca="false">E5/B9</f>
        <v>9.57142857142857</v>
      </c>
      <c r="D11" s="10" t="s">
        <v>16</v>
      </c>
      <c r="E11" s="12" t="n">
        <f aca="false">SUM('Detailed Estimate'!D11:D13)+'Detailed Estimate'!D15+'Detailed Estimate'!D16</f>
        <v>105</v>
      </c>
      <c r="F11" s="13" t="n">
        <f aca="false">E11/$E$5</f>
        <v>0.313432835820896</v>
      </c>
    </row>
    <row r="12" customFormat="false" ht="15" hidden="false" customHeight="false" outlineLevel="0" collapsed="false">
      <c r="A12" s="10" t="s">
        <v>17</v>
      </c>
      <c r="B12" s="11" t="n">
        <f aca="false">G5/B9</f>
        <v>11.0071428571429</v>
      </c>
      <c r="D12" s="10" t="s">
        <v>18</v>
      </c>
      <c r="E12" s="12" t="n">
        <f aca="false">'Detailed Estimate'!D14+'Detailed Estimate'!D17+'Detailed Estimate'!D18+'Detailed Estimate'!D19</f>
        <v>78</v>
      </c>
      <c r="F12" s="13" t="n">
        <f aca="false">E12/$E$5</f>
        <v>0.232835820895522</v>
      </c>
    </row>
    <row r="13" customFormat="false" ht="15" hidden="false" customHeight="false" outlineLevel="0" collapsed="false">
      <c r="A13" s="14" t="s">
        <v>19</v>
      </c>
      <c r="B13" s="15" t="n">
        <f aca="false">B12/Assumptions!D7</f>
        <v>2.54206532497526</v>
      </c>
      <c r="D13" s="10" t="s">
        <v>20</v>
      </c>
      <c r="E13" s="12" t="n">
        <f aca="false">'Auto Layers Update'!D13</f>
        <v>35</v>
      </c>
      <c r="F13" s="13" t="n">
        <f aca="false">E13/$E$5</f>
        <v>0.104477611940299</v>
      </c>
    </row>
    <row r="14" customFormat="false" ht="15" hidden="false" customHeight="false" outlineLevel="0" collapsed="false">
      <c r="D14" s="14" t="s">
        <v>21</v>
      </c>
      <c r="E14" s="16" t="n">
        <f aca="false">'Detailed Estimate'!D20</f>
        <v>51</v>
      </c>
      <c r="F14" s="17" t="n">
        <f aca="false">E14/$E$5</f>
        <v>0.152238805970149</v>
      </c>
    </row>
    <row r="16" customFormat="false" ht="15" hidden="false" customHeight="false" outlineLevel="0" collapsed="false">
      <c r="A16" s="5" t="s">
        <v>22</v>
      </c>
      <c r="B16" s="5"/>
      <c r="C16" s="5"/>
      <c r="D16" s="5"/>
      <c r="E16" s="5"/>
      <c r="F16" s="5"/>
      <c r="G16" s="5"/>
      <c r="H16" s="5"/>
    </row>
    <row r="17" customFormat="false" ht="27" hidden="false" customHeight="true" outlineLevel="0" collapsed="false">
      <c r="A17" s="18" t="s">
        <v>23</v>
      </c>
      <c r="B17" s="18"/>
      <c r="C17" s="18"/>
      <c r="D17" s="18"/>
      <c r="E17" s="18"/>
      <c r="F17" s="18"/>
      <c r="G17" s="18"/>
      <c r="H17" s="18"/>
    </row>
    <row r="18" customFormat="false" ht="27" hidden="false" customHeight="true" outlineLevel="0" collapsed="false">
      <c r="A18" s="19" t="s">
        <v>24</v>
      </c>
      <c r="B18" s="19"/>
      <c r="C18" s="19"/>
      <c r="D18" s="19"/>
      <c r="E18" s="19"/>
      <c r="F18" s="19"/>
      <c r="G18" s="19"/>
      <c r="H18" s="19"/>
    </row>
    <row r="19" customFormat="false" ht="27" hidden="false" customHeight="true" outlineLevel="0" collapsed="false">
      <c r="A19" s="19" t="s">
        <v>25</v>
      </c>
      <c r="B19" s="19"/>
      <c r="C19" s="19"/>
      <c r="D19" s="19"/>
      <c r="E19" s="19"/>
      <c r="F19" s="19"/>
      <c r="G19" s="19"/>
      <c r="H19" s="19"/>
    </row>
    <row r="20" customFormat="false" ht="27" hidden="false" customHeight="true" outlineLevel="0" collapsed="false">
      <c r="A20" s="20" t="s">
        <v>26</v>
      </c>
      <c r="B20" s="20"/>
      <c r="C20" s="20"/>
      <c r="D20" s="20"/>
      <c r="E20" s="20"/>
      <c r="F20" s="20"/>
      <c r="G20" s="20"/>
      <c r="H20" s="20"/>
    </row>
  </sheetData>
  <mergeCells count="15">
    <mergeCell ref="A1:H1"/>
    <mergeCell ref="A2:H2"/>
    <mergeCell ref="A4:B4"/>
    <mergeCell ref="C4:D4"/>
    <mergeCell ref="E4:F4"/>
    <mergeCell ref="G4:H4"/>
    <mergeCell ref="A5:B6"/>
    <mergeCell ref="C5:D6"/>
    <mergeCell ref="E5:F6"/>
    <mergeCell ref="G5:H6"/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7" activeCellId="0" sqref="A7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57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31"/>
    <col collapsed="false" customWidth="true" hidden="false" outlineLevel="0" max="7" min="7" style="0" width="26"/>
    <col collapsed="false" customWidth="true" hidden="false" outlineLevel="0" max="8" min="8" style="0" width="12"/>
  </cols>
  <sheetData>
    <row r="1" customFormat="false" ht="34" hidden="false" customHeight="true" outlineLevel="0" collapsed="false">
      <c r="A1" s="21" t="s">
        <v>27</v>
      </c>
      <c r="B1" s="21"/>
      <c r="C1" s="21"/>
      <c r="D1" s="21"/>
      <c r="E1" s="21"/>
      <c r="F1" s="21"/>
      <c r="G1" s="21"/>
      <c r="H1" s="21"/>
    </row>
    <row r="2" customFormat="false" ht="26" hidden="false" customHeight="true" outlineLevel="0" collapsed="false">
      <c r="A2" s="2" t="s">
        <v>28</v>
      </c>
      <c r="B2" s="2"/>
      <c r="C2" s="2"/>
      <c r="D2" s="2"/>
      <c r="E2" s="2"/>
      <c r="F2" s="2"/>
      <c r="G2" s="2"/>
      <c r="H2" s="2"/>
    </row>
    <row r="5" customFormat="false" ht="30" hidden="false" customHeight="true" outlineLevel="0" collapsed="false">
      <c r="A5" s="22" t="s">
        <v>29</v>
      </c>
      <c r="B5" s="23" t="s">
        <v>30</v>
      </c>
      <c r="C5" s="23" t="s">
        <v>31</v>
      </c>
      <c r="D5" s="23" t="s">
        <v>9</v>
      </c>
      <c r="E5" s="23" t="s">
        <v>10</v>
      </c>
      <c r="F5" s="23" t="s">
        <v>32</v>
      </c>
      <c r="G5" s="23" t="s">
        <v>33</v>
      </c>
      <c r="H5" s="24" t="s">
        <v>34</v>
      </c>
    </row>
    <row r="6" customFormat="false" ht="46" hidden="false" customHeight="true" outlineLevel="0" collapsed="false">
      <c r="A6" s="25" t="n">
        <v>1</v>
      </c>
      <c r="B6" s="25" t="s">
        <v>35</v>
      </c>
      <c r="C6" s="25" t="s">
        <v>36</v>
      </c>
      <c r="D6" s="26" t="n">
        <v>8</v>
      </c>
      <c r="E6" s="27" t="n">
        <f aca="false">D6/$D$21</f>
        <v>0.0266666666666667</v>
      </c>
      <c r="F6" s="25" t="s">
        <v>37</v>
      </c>
      <c r="G6" s="25" t="s">
        <v>38</v>
      </c>
      <c r="H6" s="25" t="s">
        <v>39</v>
      </c>
    </row>
    <row r="7" customFormat="false" ht="46" hidden="false" customHeight="true" outlineLevel="0" collapsed="false">
      <c r="A7" s="28" t="n">
        <v>2</v>
      </c>
      <c r="B7" s="28" t="s">
        <v>40</v>
      </c>
      <c r="C7" s="28" t="s">
        <v>41</v>
      </c>
      <c r="D7" s="29" t="n">
        <v>10</v>
      </c>
      <c r="E7" s="30" t="n">
        <f aca="false">D7/$D$21</f>
        <v>0.0333333333333333</v>
      </c>
      <c r="F7" s="28" t="s">
        <v>42</v>
      </c>
      <c r="G7" s="28" t="s">
        <v>43</v>
      </c>
      <c r="H7" s="28" t="s">
        <v>39</v>
      </c>
    </row>
    <row r="8" customFormat="false" ht="46" hidden="false" customHeight="true" outlineLevel="0" collapsed="false">
      <c r="A8" s="31" t="n">
        <v>3</v>
      </c>
      <c r="B8" s="31" t="s">
        <v>44</v>
      </c>
      <c r="C8" s="31" t="s">
        <v>45</v>
      </c>
      <c r="D8" s="32" t="n">
        <v>18</v>
      </c>
      <c r="E8" s="33" t="n">
        <f aca="false">D8/$D$21</f>
        <v>0.06</v>
      </c>
      <c r="F8" s="31" t="s">
        <v>46</v>
      </c>
      <c r="G8" s="31" t="s">
        <v>47</v>
      </c>
      <c r="H8" s="31" t="s">
        <v>48</v>
      </c>
    </row>
    <row r="9" customFormat="false" ht="46" hidden="false" customHeight="true" outlineLevel="0" collapsed="false">
      <c r="A9" s="28" t="n">
        <v>4</v>
      </c>
      <c r="B9" s="28" t="s">
        <v>49</v>
      </c>
      <c r="C9" s="28" t="s">
        <v>50</v>
      </c>
      <c r="D9" s="29" t="n">
        <v>16</v>
      </c>
      <c r="E9" s="30" t="n">
        <f aca="false">D9/$D$21</f>
        <v>0.0533333333333333</v>
      </c>
      <c r="F9" s="28" t="s">
        <v>51</v>
      </c>
      <c r="G9" s="28" t="s">
        <v>52</v>
      </c>
      <c r="H9" s="28" t="s">
        <v>48</v>
      </c>
    </row>
    <row r="10" customFormat="false" ht="46" hidden="false" customHeight="true" outlineLevel="0" collapsed="false">
      <c r="A10" s="31" t="n">
        <v>5</v>
      </c>
      <c r="B10" s="31" t="s">
        <v>53</v>
      </c>
      <c r="C10" s="31" t="s">
        <v>54</v>
      </c>
      <c r="D10" s="32" t="n">
        <v>14</v>
      </c>
      <c r="E10" s="33" t="n">
        <f aca="false">D10/$D$21</f>
        <v>0.0466666666666667</v>
      </c>
      <c r="F10" s="31" t="s">
        <v>55</v>
      </c>
      <c r="G10" s="31" t="s">
        <v>56</v>
      </c>
      <c r="H10" s="31" t="s">
        <v>39</v>
      </c>
    </row>
    <row r="11" customFormat="false" ht="46" hidden="false" customHeight="true" outlineLevel="0" collapsed="false">
      <c r="A11" s="28" t="n">
        <v>6</v>
      </c>
      <c r="B11" s="28" t="s">
        <v>57</v>
      </c>
      <c r="C11" s="28" t="s">
        <v>58</v>
      </c>
      <c r="D11" s="29" t="n">
        <v>16</v>
      </c>
      <c r="E11" s="30" t="n">
        <f aca="false">D11/$D$21</f>
        <v>0.0533333333333333</v>
      </c>
      <c r="F11" s="28" t="s">
        <v>59</v>
      </c>
      <c r="G11" s="28" t="s">
        <v>60</v>
      </c>
      <c r="H11" s="28" t="s">
        <v>48</v>
      </c>
    </row>
    <row r="12" customFormat="false" ht="46" hidden="false" customHeight="true" outlineLevel="0" collapsed="false">
      <c r="A12" s="31" t="n">
        <v>7</v>
      </c>
      <c r="B12" s="31" t="s">
        <v>61</v>
      </c>
      <c r="C12" s="31" t="s">
        <v>62</v>
      </c>
      <c r="D12" s="32" t="n">
        <v>30</v>
      </c>
      <c r="E12" s="33" t="n">
        <f aca="false">D12/$D$21</f>
        <v>0.1</v>
      </c>
      <c r="F12" s="31" t="s">
        <v>63</v>
      </c>
      <c r="G12" s="31" t="s">
        <v>64</v>
      </c>
      <c r="H12" s="31" t="s">
        <v>65</v>
      </c>
    </row>
    <row r="13" customFormat="false" ht="46" hidden="false" customHeight="true" outlineLevel="0" collapsed="false">
      <c r="A13" s="28" t="n">
        <v>8</v>
      </c>
      <c r="B13" s="28" t="s">
        <v>66</v>
      </c>
      <c r="C13" s="28" t="s">
        <v>67</v>
      </c>
      <c r="D13" s="29" t="n">
        <v>23</v>
      </c>
      <c r="E13" s="30" t="n">
        <f aca="false">D13/$D$21</f>
        <v>0.0766666666666667</v>
      </c>
      <c r="F13" s="28" t="s">
        <v>68</v>
      </c>
      <c r="G13" s="28" t="s">
        <v>69</v>
      </c>
      <c r="H13" s="28" t="s">
        <v>48</v>
      </c>
    </row>
    <row r="14" customFormat="false" ht="46" hidden="false" customHeight="true" outlineLevel="0" collapsed="false">
      <c r="A14" s="31" t="n">
        <v>9</v>
      </c>
      <c r="B14" s="31" t="s">
        <v>70</v>
      </c>
      <c r="C14" s="31" t="s">
        <v>71</v>
      </c>
      <c r="D14" s="32" t="n">
        <v>28</v>
      </c>
      <c r="E14" s="33" t="n">
        <f aca="false">D14/$D$21</f>
        <v>0.0933333333333333</v>
      </c>
      <c r="F14" s="31" t="s">
        <v>72</v>
      </c>
      <c r="G14" s="31" t="s">
        <v>73</v>
      </c>
      <c r="H14" s="31" t="s">
        <v>65</v>
      </c>
    </row>
    <row r="15" customFormat="false" ht="46" hidden="false" customHeight="true" outlineLevel="0" collapsed="false">
      <c r="A15" s="28" t="n">
        <v>10</v>
      </c>
      <c r="B15" s="28" t="s">
        <v>74</v>
      </c>
      <c r="C15" s="28" t="s">
        <v>75</v>
      </c>
      <c r="D15" s="29" t="n">
        <v>18</v>
      </c>
      <c r="E15" s="30" t="n">
        <f aca="false">D15/$D$21</f>
        <v>0.06</v>
      </c>
      <c r="F15" s="28" t="s">
        <v>76</v>
      </c>
      <c r="G15" s="28" t="s">
        <v>77</v>
      </c>
      <c r="H15" s="28" t="s">
        <v>48</v>
      </c>
    </row>
    <row r="16" customFormat="false" ht="46" hidden="false" customHeight="true" outlineLevel="0" collapsed="false">
      <c r="A16" s="31" t="n">
        <v>11</v>
      </c>
      <c r="B16" s="31" t="s">
        <v>78</v>
      </c>
      <c r="C16" s="31" t="s">
        <v>79</v>
      </c>
      <c r="D16" s="32" t="n">
        <v>18</v>
      </c>
      <c r="E16" s="33" t="n">
        <f aca="false">D16/$D$21</f>
        <v>0.06</v>
      </c>
      <c r="F16" s="31" t="s">
        <v>80</v>
      </c>
      <c r="G16" s="31" t="s">
        <v>81</v>
      </c>
      <c r="H16" s="31" t="s">
        <v>48</v>
      </c>
    </row>
    <row r="17" customFormat="false" ht="46" hidden="false" customHeight="true" outlineLevel="0" collapsed="false">
      <c r="A17" s="28" t="n">
        <v>12</v>
      </c>
      <c r="B17" s="28" t="s">
        <v>82</v>
      </c>
      <c r="C17" s="28" t="s">
        <v>83</v>
      </c>
      <c r="D17" s="29" t="n">
        <v>10</v>
      </c>
      <c r="E17" s="30" t="n">
        <f aca="false">D17/$D$21</f>
        <v>0.0333333333333333</v>
      </c>
      <c r="F17" s="28" t="s">
        <v>84</v>
      </c>
      <c r="G17" s="28" t="s">
        <v>85</v>
      </c>
      <c r="H17" s="28" t="s">
        <v>39</v>
      </c>
    </row>
    <row r="18" customFormat="false" ht="46" hidden="false" customHeight="true" outlineLevel="0" collapsed="false">
      <c r="A18" s="31" t="n">
        <v>13</v>
      </c>
      <c r="B18" s="31" t="s">
        <v>86</v>
      </c>
      <c r="C18" s="31" t="s">
        <v>87</v>
      </c>
      <c r="D18" s="32" t="n">
        <v>30</v>
      </c>
      <c r="E18" s="33" t="n">
        <f aca="false">D18/$D$21</f>
        <v>0.1</v>
      </c>
      <c r="F18" s="31" t="s">
        <v>88</v>
      </c>
      <c r="G18" s="31" t="s">
        <v>89</v>
      </c>
      <c r="H18" s="31" t="s">
        <v>65</v>
      </c>
    </row>
    <row r="19" customFormat="false" ht="46" hidden="false" customHeight="true" outlineLevel="0" collapsed="false">
      <c r="A19" s="28" t="n">
        <v>14</v>
      </c>
      <c r="B19" s="28" t="s">
        <v>90</v>
      </c>
      <c r="C19" s="28" t="s">
        <v>91</v>
      </c>
      <c r="D19" s="29" t="n">
        <v>10</v>
      </c>
      <c r="E19" s="30" t="n">
        <f aca="false">D19/$D$21</f>
        <v>0.0333333333333333</v>
      </c>
      <c r="F19" s="28" t="s">
        <v>92</v>
      </c>
      <c r="G19" s="28" t="s">
        <v>93</v>
      </c>
      <c r="H19" s="28" t="s">
        <v>48</v>
      </c>
    </row>
    <row r="20" customFormat="false" ht="46" hidden="false" customHeight="true" outlineLevel="0" collapsed="false">
      <c r="A20" s="34" t="n">
        <v>15</v>
      </c>
      <c r="B20" s="34" t="s">
        <v>94</v>
      </c>
      <c r="C20" s="34" t="s">
        <v>95</v>
      </c>
      <c r="D20" s="35" t="n">
        <v>51</v>
      </c>
      <c r="E20" s="36" t="n">
        <f aca="false">D20/$D$21</f>
        <v>0.17</v>
      </c>
      <c r="F20" s="34" t="s">
        <v>96</v>
      </c>
      <c r="G20" s="34" t="s">
        <v>97</v>
      </c>
      <c r="H20" s="34" t="s">
        <v>65</v>
      </c>
    </row>
    <row r="21" customFormat="false" ht="28" hidden="false" customHeight="true" outlineLevel="0" collapsed="false">
      <c r="A21" s="37" t="s">
        <v>98</v>
      </c>
      <c r="B21" s="37"/>
      <c r="C21" s="37"/>
      <c r="D21" s="38" t="n">
        <f aca="false">SUM(D6:D20)</f>
        <v>300</v>
      </c>
      <c r="E21" s="39" t="n">
        <f aca="false">SUM(E6:E20)</f>
        <v>1</v>
      </c>
      <c r="F21" s="40" t="s">
        <v>99</v>
      </c>
      <c r="G21" s="40"/>
      <c r="H21" s="40"/>
    </row>
  </sheetData>
  <mergeCells count="4">
    <mergeCell ref="A1:H1"/>
    <mergeCell ref="A2:H2"/>
    <mergeCell ref="A21:C21"/>
    <mergeCell ref="F21:H21"/>
  </mergeCells>
  <conditionalFormatting sqref="H6:H20">
    <cfRule type="containsText" priority="2" operator="containsText" aboveAverage="0" equalAverage="0" bottom="0" percent="0" rank="0" text="High" dxfId="0">
      <formula>NOT(ISERROR(SEARCH("High",H6)))</formula>
    </cfRule>
    <cfRule type="containsText" priority="3" operator="containsText" aboveAverage="0" equalAverage="0" bottom="0" percent="0" rank="0" text="Medium" dxfId="1">
      <formula>NOT(ISERROR(SEARCH("Medium",H6)))</formula>
    </cfRule>
    <cfRule type="containsText" priority="4" operator="containsText" aboveAverage="0" equalAverage="0" bottom="0" percent="0" rank="0" text="Low" dxfId="2">
      <formula>NOT(ISERROR(SEARCH("Low",H6)))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31"/>
  </cols>
  <sheetData>
    <row r="1" customFormat="false" ht="34" hidden="false" customHeight="true" outlineLevel="0" collapsed="false">
      <c r="A1" s="41" t="s">
        <v>100</v>
      </c>
      <c r="B1" s="41"/>
      <c r="C1" s="41"/>
      <c r="D1" s="41"/>
      <c r="E1" s="41"/>
      <c r="F1" s="41"/>
    </row>
    <row r="2" customFormat="false" ht="30" hidden="false" customHeight="true" outlineLevel="0" collapsed="false">
      <c r="A2" s="42" t="s">
        <v>101</v>
      </c>
      <c r="B2" s="42"/>
      <c r="C2" s="42"/>
      <c r="D2" s="42"/>
      <c r="E2" s="42"/>
      <c r="F2" s="42"/>
    </row>
    <row r="5" customFormat="false" ht="15" hidden="false" customHeight="false" outlineLevel="0" collapsed="false">
      <c r="A5" s="43" t="s">
        <v>29</v>
      </c>
      <c r="B5" s="43" t="s">
        <v>102</v>
      </c>
      <c r="C5" s="43" t="s">
        <v>103</v>
      </c>
      <c r="D5" s="43" t="s">
        <v>9</v>
      </c>
      <c r="E5" s="43" t="s">
        <v>104</v>
      </c>
      <c r="F5" s="43" t="s">
        <v>105</v>
      </c>
    </row>
    <row r="6" customFormat="false" ht="45" hidden="false" customHeight="true" outlineLevel="0" collapsed="false">
      <c r="A6" s="25" t="n">
        <v>1</v>
      </c>
      <c r="B6" s="25" t="s">
        <v>106</v>
      </c>
      <c r="C6" s="25" t="s">
        <v>107</v>
      </c>
      <c r="D6" s="26" t="n">
        <v>5</v>
      </c>
      <c r="E6" s="27" t="n">
        <f aca="false">D6/$D$13</f>
        <v>0.142857142857143</v>
      </c>
      <c r="F6" s="25" t="s">
        <v>108</v>
      </c>
    </row>
    <row r="7" customFormat="false" ht="45" hidden="false" customHeight="true" outlineLevel="0" collapsed="false">
      <c r="A7" s="28" t="n">
        <v>2</v>
      </c>
      <c r="B7" s="28" t="s">
        <v>109</v>
      </c>
      <c r="C7" s="28" t="s">
        <v>110</v>
      </c>
      <c r="D7" s="29" t="n">
        <v>7</v>
      </c>
      <c r="E7" s="30" t="n">
        <f aca="false">D7/$D$13</f>
        <v>0.2</v>
      </c>
      <c r="F7" s="28" t="s">
        <v>111</v>
      </c>
    </row>
    <row r="8" customFormat="false" ht="45" hidden="false" customHeight="true" outlineLevel="0" collapsed="false">
      <c r="A8" s="31" t="n">
        <v>3</v>
      </c>
      <c r="B8" s="31" t="s">
        <v>112</v>
      </c>
      <c r="C8" s="31" t="s">
        <v>113</v>
      </c>
      <c r="D8" s="32" t="n">
        <v>4</v>
      </c>
      <c r="E8" s="33" t="n">
        <f aca="false">D8/$D$13</f>
        <v>0.114285714285714</v>
      </c>
      <c r="F8" s="31" t="s">
        <v>114</v>
      </c>
    </row>
    <row r="9" customFormat="false" ht="45" hidden="false" customHeight="true" outlineLevel="0" collapsed="false">
      <c r="A9" s="28" t="n">
        <v>4</v>
      </c>
      <c r="B9" s="28" t="s">
        <v>115</v>
      </c>
      <c r="C9" s="28" t="s">
        <v>116</v>
      </c>
      <c r="D9" s="29" t="n">
        <v>5</v>
      </c>
      <c r="E9" s="30" t="n">
        <f aca="false">D9/$D$13</f>
        <v>0.142857142857143</v>
      </c>
      <c r="F9" s="28" t="s">
        <v>117</v>
      </c>
    </row>
    <row r="10" customFormat="false" ht="45" hidden="false" customHeight="true" outlineLevel="0" collapsed="false">
      <c r="A10" s="31" t="n">
        <v>5</v>
      </c>
      <c r="B10" s="31" t="s">
        <v>118</v>
      </c>
      <c r="C10" s="31" t="s">
        <v>119</v>
      </c>
      <c r="D10" s="32" t="n">
        <v>5</v>
      </c>
      <c r="E10" s="33" t="n">
        <f aca="false">D10/$D$13</f>
        <v>0.142857142857143</v>
      </c>
      <c r="F10" s="31" t="s">
        <v>120</v>
      </c>
    </row>
    <row r="11" customFormat="false" ht="45" hidden="false" customHeight="true" outlineLevel="0" collapsed="false">
      <c r="A11" s="28" t="n">
        <v>6</v>
      </c>
      <c r="B11" s="28" t="s">
        <v>121</v>
      </c>
      <c r="C11" s="28" t="s">
        <v>122</v>
      </c>
      <c r="D11" s="29" t="n">
        <v>5</v>
      </c>
      <c r="E11" s="30" t="n">
        <f aca="false">D11/$D$13</f>
        <v>0.142857142857143</v>
      </c>
      <c r="F11" s="28" t="s">
        <v>123</v>
      </c>
    </row>
    <row r="12" customFormat="false" ht="45" hidden="false" customHeight="true" outlineLevel="0" collapsed="false">
      <c r="A12" s="34" t="n">
        <v>7</v>
      </c>
      <c r="B12" s="34" t="s">
        <v>124</v>
      </c>
      <c r="C12" s="34" t="s">
        <v>125</v>
      </c>
      <c r="D12" s="35" t="n">
        <v>4</v>
      </c>
      <c r="E12" s="36" t="n">
        <f aca="false">D12/$D$13</f>
        <v>0.114285714285714</v>
      </c>
      <c r="F12" s="34" t="s">
        <v>126</v>
      </c>
    </row>
    <row r="13" customFormat="false" ht="15" hidden="false" customHeight="false" outlineLevel="0" collapsed="false">
      <c r="A13" s="44" t="s">
        <v>127</v>
      </c>
      <c r="B13" s="44"/>
      <c r="C13" s="44"/>
      <c r="D13" s="45" t="n">
        <f aca="false">SUM(D6:D12)</f>
        <v>35</v>
      </c>
      <c r="E13" s="46" t="n">
        <f aca="false">SUM(E6:E12)</f>
        <v>1</v>
      </c>
      <c r="F13" s="44" t="s">
        <v>128</v>
      </c>
    </row>
  </sheetData>
  <mergeCells count="3">
    <mergeCell ref="A1:F1"/>
    <mergeCell ref="A2:F2"/>
    <mergeCell ref="A13:C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3" min="3" style="0" width="58"/>
    <col collapsed="false" customWidth="true" hidden="false" outlineLevel="0" max="4" min="4" style="0" width="42"/>
  </cols>
  <sheetData>
    <row r="1" customFormat="false" ht="34" hidden="false" customHeight="true" outlineLevel="0" collapsed="false">
      <c r="A1" s="41" t="s">
        <v>129</v>
      </c>
      <c r="B1" s="41"/>
      <c r="C1" s="41"/>
      <c r="D1" s="41"/>
    </row>
    <row r="4" customFormat="false" ht="15" hidden="false" customHeight="false" outlineLevel="0" collapsed="false">
      <c r="A4" s="47" t="s">
        <v>130</v>
      </c>
      <c r="B4" s="47"/>
      <c r="C4" s="47"/>
      <c r="D4" s="47" t="s">
        <v>7</v>
      </c>
    </row>
    <row r="5" customFormat="false" ht="15" hidden="false" customHeight="false" outlineLevel="0" collapsed="false">
      <c r="A5" s="48" t="s">
        <v>11</v>
      </c>
      <c r="B5" s="48"/>
      <c r="C5" s="48"/>
      <c r="D5" s="49" t="n">
        <v>35</v>
      </c>
    </row>
    <row r="6" customFormat="false" ht="15" hidden="false" customHeight="false" outlineLevel="0" collapsed="false">
      <c r="A6" s="48" t="s">
        <v>131</v>
      </c>
      <c r="B6" s="48"/>
      <c r="C6" s="48"/>
      <c r="D6" s="50" t="n">
        <v>0.15</v>
      </c>
    </row>
    <row r="7" customFormat="false" ht="15" hidden="false" customHeight="false" outlineLevel="0" collapsed="false">
      <c r="A7" s="48" t="s">
        <v>132</v>
      </c>
      <c r="B7" s="48"/>
      <c r="C7" s="48"/>
      <c r="D7" s="51" t="n">
        <v>4.33</v>
      </c>
    </row>
    <row r="8" customFormat="false" ht="15" hidden="false" customHeight="false" outlineLevel="0" collapsed="false">
      <c r="A8" s="48" t="s">
        <v>133</v>
      </c>
      <c r="B8" s="48"/>
      <c r="C8" s="48"/>
      <c r="D8" s="0" t="s">
        <v>134</v>
      </c>
    </row>
    <row r="11" customFormat="false" ht="15" hidden="false" customHeight="false" outlineLevel="0" collapsed="false">
      <c r="A11" s="52" t="s">
        <v>135</v>
      </c>
      <c r="B11" s="52" t="s">
        <v>136</v>
      </c>
      <c r="C11" s="52" t="s">
        <v>137</v>
      </c>
      <c r="D11" s="52" t="s">
        <v>138</v>
      </c>
    </row>
    <row r="12" customFormat="false" ht="48" hidden="false" customHeight="true" outlineLevel="0" collapsed="false">
      <c r="A12" s="25" t="n">
        <v>1</v>
      </c>
      <c r="B12" s="25" t="s">
        <v>139</v>
      </c>
      <c r="C12" s="25" t="s">
        <v>140</v>
      </c>
      <c r="D12" s="25" t="s">
        <v>141</v>
      </c>
    </row>
    <row r="13" customFormat="false" ht="48" hidden="false" customHeight="true" outlineLevel="0" collapsed="false">
      <c r="A13" s="28" t="n">
        <v>2</v>
      </c>
      <c r="B13" s="28" t="s">
        <v>142</v>
      </c>
      <c r="C13" s="28" t="s">
        <v>143</v>
      </c>
      <c r="D13" s="28" t="s">
        <v>144</v>
      </c>
    </row>
    <row r="14" customFormat="false" ht="48" hidden="false" customHeight="true" outlineLevel="0" collapsed="false">
      <c r="A14" s="31" t="n">
        <v>3</v>
      </c>
      <c r="B14" s="31" t="s">
        <v>145</v>
      </c>
      <c r="C14" s="31" t="s">
        <v>146</v>
      </c>
      <c r="D14" s="31" t="s">
        <v>147</v>
      </c>
    </row>
    <row r="15" customFormat="false" ht="48" hidden="false" customHeight="true" outlineLevel="0" collapsed="false">
      <c r="A15" s="28" t="n">
        <v>4</v>
      </c>
      <c r="B15" s="28" t="s">
        <v>148</v>
      </c>
      <c r="C15" s="28" t="s">
        <v>149</v>
      </c>
      <c r="D15" s="28" t="s">
        <v>150</v>
      </c>
    </row>
    <row r="16" customFormat="false" ht="48" hidden="false" customHeight="true" outlineLevel="0" collapsed="false">
      <c r="A16" s="31" t="n">
        <v>5</v>
      </c>
      <c r="B16" s="31" t="s">
        <v>151</v>
      </c>
      <c r="C16" s="31" t="s">
        <v>152</v>
      </c>
      <c r="D16" s="31" t="s">
        <v>153</v>
      </c>
    </row>
    <row r="17" customFormat="false" ht="48" hidden="false" customHeight="true" outlineLevel="0" collapsed="false">
      <c r="A17" s="28" t="n">
        <v>6</v>
      </c>
      <c r="B17" s="28" t="s">
        <v>154</v>
      </c>
      <c r="C17" s="28" t="s">
        <v>155</v>
      </c>
      <c r="D17" s="28" t="s">
        <v>156</v>
      </c>
    </row>
    <row r="18" customFormat="false" ht="48" hidden="false" customHeight="true" outlineLevel="0" collapsed="false">
      <c r="A18" s="31" t="n">
        <v>7</v>
      </c>
      <c r="B18" s="31" t="s">
        <v>157</v>
      </c>
      <c r="C18" s="31" t="s">
        <v>158</v>
      </c>
      <c r="D18" s="31" t="s">
        <v>159</v>
      </c>
    </row>
    <row r="19" customFormat="false" ht="48" hidden="false" customHeight="true" outlineLevel="0" collapsed="false">
      <c r="A19" s="53" t="n">
        <v>8</v>
      </c>
      <c r="B19" s="53" t="s">
        <v>160</v>
      </c>
      <c r="C19" s="53" t="s">
        <v>161</v>
      </c>
      <c r="D19" s="53" t="s">
        <v>162</v>
      </c>
    </row>
    <row r="22" customFormat="false" ht="15" hidden="false" customHeight="false" outlineLevel="0" collapsed="false">
      <c r="A22" s="47" t="s">
        <v>163</v>
      </c>
      <c r="B22" s="47"/>
      <c r="C22" s="47" t="s">
        <v>164</v>
      </c>
      <c r="D22" s="47"/>
    </row>
    <row r="23" customFormat="false" ht="38" hidden="false" customHeight="true" outlineLevel="0" collapsed="false">
      <c r="A23" s="54" t="s">
        <v>165</v>
      </c>
      <c r="B23" s="54"/>
      <c r="C23" s="54" t="s">
        <v>166</v>
      </c>
      <c r="D23" s="54"/>
    </row>
    <row r="24" customFormat="false" ht="38" hidden="false" customHeight="true" outlineLevel="0" collapsed="false">
      <c r="A24" s="54" t="s">
        <v>167</v>
      </c>
      <c r="B24" s="54"/>
      <c r="C24" s="54" t="s">
        <v>168</v>
      </c>
      <c r="D24" s="54"/>
    </row>
    <row r="25" customFormat="false" ht="38" hidden="false" customHeight="true" outlineLevel="0" collapsed="false">
      <c r="A25" s="54" t="s">
        <v>169</v>
      </c>
      <c r="B25" s="54"/>
      <c r="C25" s="54" t="s">
        <v>170</v>
      </c>
      <c r="D25" s="54"/>
    </row>
  </sheetData>
  <mergeCells count="14">
    <mergeCell ref="A1:D1"/>
    <mergeCell ref="A4:C4"/>
    <mergeCell ref="A5:C5"/>
    <mergeCell ref="A6:C6"/>
    <mergeCell ref="A7:C7"/>
    <mergeCell ref="A8:C8"/>
    <mergeCell ref="A22:B22"/>
    <mergeCell ref="C22:D22"/>
    <mergeCell ref="A23:B23"/>
    <mergeCell ref="C23:D23"/>
    <mergeCell ref="A24:B24"/>
    <mergeCell ref="C24:D24"/>
    <mergeCell ref="A25:B25"/>
    <mergeCell ref="C25:D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.15"/>
    <col collapsed="false" customWidth="true" hidden="false" outlineLevel="0" max="3" min="3" style="0" width="11.16"/>
    <col collapsed="false" customWidth="true" hidden="false" outlineLevel="0" max="4" min="4" style="0" width="30"/>
    <col collapsed="false" customWidth="true" hidden="false" outlineLevel="0" max="6" min="5" style="0" width="13"/>
    <col collapsed="false" customWidth="true" hidden="false" outlineLevel="0" max="8" min="7" style="0" width="15"/>
  </cols>
  <sheetData>
    <row r="1" customFormat="false" ht="3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" hidden="false" customHeight="true" outlineLevel="0" collapsed="false">
      <c r="A2" s="2" t="s">
        <v>171</v>
      </c>
      <c r="B2" s="2"/>
      <c r="C2" s="2"/>
      <c r="D2" s="2"/>
      <c r="E2" s="2"/>
      <c r="F2" s="2"/>
      <c r="G2" s="2"/>
      <c r="H2" s="2"/>
    </row>
    <row r="4" customFormat="false" ht="13.8" hidden="false" customHeight="false" outlineLevel="0" collapsed="false">
      <c r="A4" s="3" t="s">
        <v>2</v>
      </c>
      <c r="B4" s="3"/>
      <c r="C4" s="3" t="s">
        <v>172</v>
      </c>
      <c r="D4" s="3"/>
      <c r="E4" s="3" t="s">
        <v>4</v>
      </c>
      <c r="F4" s="3"/>
      <c r="G4" s="3" t="s">
        <v>5</v>
      </c>
      <c r="H4" s="3"/>
    </row>
    <row r="5" customFormat="false" ht="12.8" hidden="false" customHeight="false" outlineLevel="0" collapsed="false">
      <c r="A5" s="4" t="n">
        <v>50</v>
      </c>
      <c r="B5" s="4"/>
      <c r="C5" s="4" t="n">
        <v>15</v>
      </c>
      <c r="D5" s="4"/>
      <c r="E5" s="4" t="n">
        <f aca="false">A5+C5</f>
        <v>65</v>
      </c>
      <c r="F5" s="4"/>
      <c r="G5" s="4" t="n">
        <f aca="false">E5*(1+Assumptions!D6)</f>
        <v>74.75</v>
      </c>
      <c r="H5" s="4"/>
    </row>
    <row r="6" customFormat="false" ht="12.8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8" customFormat="false" ht="13.8" hidden="false" customHeight="false" outlineLevel="0" collapsed="false">
      <c r="A8" s="6" t="s">
        <v>8</v>
      </c>
      <c r="B8" s="6" t="s">
        <v>9</v>
      </c>
      <c r="C8" s="6" t="s">
        <v>10</v>
      </c>
    </row>
    <row r="9" customFormat="false" ht="13.8" hidden="false" customHeight="false" outlineLevel="0" collapsed="false">
      <c r="A9" s="7" t="s">
        <v>12</v>
      </c>
      <c r="B9" s="8" t="n">
        <v>8</v>
      </c>
      <c r="C9" s="9" t="n">
        <f aca="false">B9/$E$5</f>
        <v>0.123076923076923</v>
      </c>
    </row>
    <row r="10" customFormat="false" ht="13.8" hidden="false" customHeight="false" outlineLevel="0" collapsed="false">
      <c r="A10" s="10" t="s">
        <v>14</v>
      </c>
      <c r="B10" s="12" t="n">
        <v>12</v>
      </c>
      <c r="C10" s="13" t="n">
        <f aca="false">B10/$E$5</f>
        <v>0.184615384615385</v>
      </c>
    </row>
    <row r="11" customFormat="false" ht="13.8" hidden="false" customHeight="false" outlineLevel="0" collapsed="false">
      <c r="A11" s="10" t="s">
        <v>16</v>
      </c>
      <c r="B11" s="12" t="n">
        <v>14</v>
      </c>
      <c r="C11" s="13" t="n">
        <f aca="false">B11/$E$5</f>
        <v>0.215384615384615</v>
      </c>
    </row>
    <row r="12" customFormat="false" ht="13.8" hidden="false" customHeight="false" outlineLevel="0" collapsed="false">
      <c r="A12" s="10" t="s">
        <v>18</v>
      </c>
      <c r="B12" s="12" t="n">
        <v>7</v>
      </c>
      <c r="C12" s="13" t="n">
        <f aca="false">B12/$E$5</f>
        <v>0.107692307692308</v>
      </c>
    </row>
    <row r="13" customFormat="false" ht="13.8" hidden="false" customHeight="false" outlineLevel="0" collapsed="false">
      <c r="A13" s="10" t="s">
        <v>20</v>
      </c>
      <c r="B13" s="12" t="n">
        <v>15</v>
      </c>
      <c r="C13" s="13" t="n">
        <f aca="false">B13/$E$5</f>
        <v>0.230769230769231</v>
      </c>
    </row>
    <row r="14" customFormat="false" ht="13.8" hidden="false" customHeight="false" outlineLevel="0" collapsed="false">
      <c r="A14" s="14" t="s">
        <v>21</v>
      </c>
      <c r="B14" s="16" t="n">
        <v>9</v>
      </c>
      <c r="C14" s="17" t="n">
        <f aca="false">B14/$E$5</f>
        <v>0.138461538461538</v>
      </c>
    </row>
    <row r="17" customFormat="false" ht="12.7" hidden="false" customHeight="true" outlineLevel="0" collapsed="false"/>
    <row r="18" customFormat="false" ht="14.05" hidden="false" customHeight="true" outlineLevel="0" collapsed="false"/>
    <row r="19" customFormat="false" ht="14.5" hidden="false" customHeight="true" outlineLevel="0" collapsed="false"/>
    <row r="20" customFormat="false" ht="14.5" hidden="false" customHeight="true" outlineLevel="0" collapsed="false"/>
  </sheetData>
  <mergeCells count="12">
    <mergeCell ref="A1:H1"/>
    <mergeCell ref="A2:H2"/>
    <mergeCell ref="A3:AO3"/>
    <mergeCell ref="A4:B4"/>
    <mergeCell ref="C4:D4"/>
    <mergeCell ref="E4:F4"/>
    <mergeCell ref="G4:H4"/>
    <mergeCell ref="A5:B6"/>
    <mergeCell ref="C5:D6"/>
    <mergeCell ref="E5:F6"/>
    <mergeCell ref="G5:H6"/>
    <mergeCell ref="A7:CC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G18" activeCellId="0" sqref="G18"/>
    </sheetView>
  </sheetViews>
  <sheetFormatPr defaultColWidth="11.53515625" defaultRowHeight="12.8" customHeight="true" zeroHeight="false" outlineLevelRow="0" outlineLevelCol="0"/>
  <sheetData>
    <row r="1" customFormat="false" ht="24.45" hidden="false" customHeight="false" outlineLevel="0" collapsed="false">
      <c r="A1" s="1" t="s">
        <v>173</v>
      </c>
      <c r="B1" s="1"/>
      <c r="C1" s="1"/>
      <c r="D1" s="1"/>
      <c r="E1" s="1"/>
      <c r="F1" s="1"/>
      <c r="G1" s="1"/>
      <c r="H1" s="1"/>
    </row>
    <row r="2" customFormat="false" ht="13.8" hidden="false" customHeight="false" outlineLevel="0" collapsed="false">
      <c r="A2" s="55" t="s">
        <v>174</v>
      </c>
      <c r="B2" s="55"/>
      <c r="C2" s="55"/>
      <c r="D2" s="55"/>
      <c r="E2" s="55"/>
      <c r="F2" s="55"/>
      <c r="G2" s="55"/>
      <c r="H2" s="55"/>
    </row>
    <row r="4" customFormat="false" ht="13.8" hidden="false" customHeight="false" outlineLevel="0" collapsed="false">
      <c r="A4" s="3" t="s">
        <v>175</v>
      </c>
      <c r="B4" s="3"/>
      <c r="C4" s="3" t="s">
        <v>176</v>
      </c>
      <c r="D4" s="3"/>
      <c r="E4" s="3" t="s">
        <v>4</v>
      </c>
      <c r="F4" s="3"/>
      <c r="G4" s="3" t="s">
        <v>5</v>
      </c>
      <c r="H4" s="3"/>
    </row>
    <row r="5" customFormat="false" ht="12.8" hidden="false" customHeight="false" outlineLevel="0" collapsed="false">
      <c r="A5" s="4" t="n">
        <v>5</v>
      </c>
      <c r="B5" s="4"/>
      <c r="C5" s="4" t="n">
        <v>5</v>
      </c>
      <c r="D5" s="4"/>
      <c r="E5" s="4" t="n">
        <f aca="false">A5+C5</f>
        <v>10</v>
      </c>
      <c r="F5" s="4"/>
      <c r="G5" s="4" t="n">
        <f aca="false">E5*(1+Assumptions!D6)</f>
        <v>11.5</v>
      </c>
      <c r="H5" s="4"/>
    </row>
    <row r="6" customFormat="false" ht="12.8" hidden="false" customHeight="false" outlineLevel="0" collapsed="false">
      <c r="A6" s="4"/>
      <c r="B6" s="4"/>
      <c r="C6" s="4"/>
      <c r="D6" s="4"/>
      <c r="E6" s="4"/>
      <c r="F6" s="4"/>
      <c r="G6" s="4"/>
      <c r="H6" s="4"/>
    </row>
  </sheetData>
  <mergeCells count="12">
    <mergeCell ref="A1:H1"/>
    <mergeCell ref="A2:H2"/>
    <mergeCell ref="A3:AO3"/>
    <mergeCell ref="A4:B4"/>
    <mergeCell ref="C4:D4"/>
    <mergeCell ref="E4:F4"/>
    <mergeCell ref="G4:H4"/>
    <mergeCell ref="A5:B6"/>
    <mergeCell ref="C5:D6"/>
    <mergeCell ref="E5:F6"/>
    <mergeCell ref="G5:H6"/>
    <mergeCell ref="A7:CC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2026-07-17T10:40:33Z</dcterms:modified>
  <cp:revision>3</cp:revision>
  <dc:subject/>
  <dc:title/>
</cp:coreProperties>
</file>