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b1dc9a682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26688c2e1b467d"/>
    <x:sheet xmlns:r="http://schemas.openxmlformats.org/officeDocument/2006/relationships" name="Detailed Estimate" sheetId="2" r:id="Rd346003a60ad431a"/>
    <x:sheet xmlns:r="http://schemas.openxmlformats.org/officeDocument/2006/relationships" name="Auto Layers Update" sheetId="3" r:id="R582ac358ec3648e7"/>
    <x:sheet xmlns:r="http://schemas.openxmlformats.org/officeDocument/2006/relationships" name="Assumptions" sheetId="4" r:id="Rc61d53da1a34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%"/>
    <x:numFmt numFmtId="203" formatCode="0.00"/>
    <x:numFmt numFmtId="204" formatCode="#,##0 &quot;hrs&quot;"/>
    <x:numFmt numFmtId="205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20"/>
      <x:color rgb="FFFFFFFF"/>
      <x:name val="Carlito"/>
    </x:font>
    <x:font>
      <x:b/>
      <x:sz val="20"/>
      <x:color rgb="FF16324F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246BFD"/>
      </x:patternFill>
    </x:fill>
    <x:fill>
      <x:patternFill patternType="solid">
        <x:fgColor rgb="FFF5F8FC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bottom style="thin">
        <x:color rgb="FFD8E0EA"/>
      </x:bottom>
    </x:border>
    <x:border>
      <x:top style="thin">
        <x:color rgb="FFD8E0EA"/>
      </x:top>
    </x:border>
    <x:border>
      <x:left style="medium">
        <x:color rgb="FF16324F"/>
      </x:left>
      <x:top style="medium">
        <x:color rgb="FF16324F"/>
      </x:top>
      <x:bottom style="medium">
        <x:color rgb="FF16324F"/>
      </x:bottom>
    </x:border>
    <x:border>
      <x:top style="medium">
        <x:color rgb="FF16324F"/>
      </x:top>
      <x:bottom style="medium">
        <x:color rgb="FF16324F"/>
      </x:bottom>
    </x:border>
    <x:border>
      <x:right style="medium">
        <x:color rgb="FF16324F"/>
      </x:right>
      <x:top style="medium">
        <x:color rgb="FF16324F"/>
      </x:top>
      <x:bottom style="medium">
        <x:color rgb="FF16324F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</x:border>
    <x:border>
      <x:right style="thin">
        <x:color rgb="FFD8E0EA"/>
      </x:right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bottom style="thin">
        <x:color rgb="FFD8E0EA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/>
    </x:xf>
    <x:xf numFmtId="200" fontId="4" fillId="0" borderId="4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 vertical="top" wrapText="1"/>
    </x:xf>
    <x:xf numFmtId="201" fontId="4" fillId="0" borderId="2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1" fontId="0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 applyAlignment="1">
      <x:alignment horizontal="right"/>
    </x:xf>
    <x:xf numFmtId="201" fontId="3" fillId="2" borderId="0" xfId="0" applyNumberFormat="1" applyFont="1" applyFill="1" applyBorder="1" applyAlignment="1">
      <x:alignment horizontal="right"/>
    </x:xf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200" fontId="3" fillId="2" borderId="7" xfId="0" applyNumberFormat="1" applyFont="1" applyFill="1" applyBorder="1" applyAlignment="1">
      <x:alignment horizontal="right"/>
    </x:xf>
    <x:xf numFmtId="201" fontId="3" fillId="2" borderId="7" xfId="0" applyNumberFormat="1" applyFont="1" applyFill="1" applyBorder="1" applyAlignment="1">
      <x:alignment horizontal="right"/>
    </x:xf>
    <x:xf numFmtId="0" fontId="3" fillId="2" borderId="8" xfId="0" applyNumberFormat="1" applyFont="1" applyFill="1" applyBorder="1"/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200" fontId="3" fillId="2" borderId="7" xfId="0" applyNumberFormat="1" applyFont="1" applyFill="1" applyBorder="1" applyAlignment="1">
      <x:alignment horizontal="right" vertical="center"/>
    </x:xf>
    <x:xf numFmtId="201" fontId="3" fillId="2" borderId="7" xfId="0" applyNumberFormat="1" applyFont="1" applyFill="1" applyBorder="1" applyAlignment="1">
      <x:alignment horizontal="right" vertical="center"/>
    </x:xf>
    <x:xf numFmtId="0" fontId="3" fillId="2" borderId="8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1" fontId="4" fillId="5" borderId="4" xfId="0" applyNumberFormat="1" applyFont="1" applyFill="1" applyBorder="1" applyAlignment="1">
      <x:alignment horizontal="right"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horizontal="right" vertical="top" wrapText="1"/>
    </x:xf>
    <x:xf numFmtId="201" fontId="4" fillId="5" borderId="2" xfId="0" applyNumberFormat="1" applyFont="1" applyFill="1" applyBorder="1" applyAlignment="1">
      <x:alignment horizontal="right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top" wrapText="1"/>
    </x:xf>
    <x:xf numFmtId="201" fontId="4" fillId="5" borderId="5" xfId="0" applyNumberFormat="1" applyFont="1" applyFill="1" applyBorder="1" applyAlignment="1">
      <x:alignment horizontal="right" vertical="top" wrapText="1"/>
    </x:xf>
    <x:xf numFmtId="200" fontId="3" fillId="2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9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 vertical="center"/>
    </x:xf>
    <x:xf numFmtId="204" fontId="7" fillId="6" borderId="9" xfId="0" applyNumberFormat="1" applyFont="1" applyFill="1" applyBorder="1" applyAlignment="1">
      <x:alignment horizontal="center" vertical="center"/>
    </x:xf>
    <x:xf numFmtId="202" fontId="7" fillId="6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2" xfId="0" applyNumberFormat="1" applyFont="1" applyFill="1" applyBorder="1"/>
    <x:xf numFmtId="0" fontId="8" fillId="5" borderId="5" xfId="0" applyNumberFormat="1" applyFont="1" applyFill="1" applyBorder="1"/>
    <x:xf numFmtId="200" fontId="8" fillId="5" borderId="4" xfId="0" applyNumberFormat="1" applyFont="1" applyFill="1" applyBorder="1"/>
    <x:xf numFmtId="205" fontId="8" fillId="5" borderId="2" xfId="0" applyNumberFormat="1" applyFont="1" applyFill="1" applyBorder="1"/>
    <x:xf numFmtId="205" fontId="8" fillId="5" borderId="5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8" fillId="5" borderId="2" xfId="0" applyNumberFormat="1" applyFont="1" applyFill="1" applyBorder="1"/>
    <x:xf numFmtId="200" fontId="8" fillId="5" borderId="5" xfId="0" applyNumberFormat="1" applyFont="1" applyFill="1" applyBorder="1"/>
    <x:xf numFmtId="201" fontId="8" fillId="5" borderId="4" xfId="0" applyNumberFormat="1" applyFont="1" applyFill="1" applyBorder="1"/>
    <x:xf numFmtId="201" fontId="8" fillId="5" borderId="2" xfId="0" applyNumberFormat="1" applyFont="1" applyFill="1" applyBorder="1"/>
    <x:xf numFmtId="201" fontId="8" fillId="5" borderId="5" xfId="0" applyNumberFormat="1" applyFont="1" applyFill="1" applyBorder="1"/>
    <x:xf numFmtId="0" fontId="8" fillId="3" borderId="0" xfId="0" applyNumberFormat="1" applyFont="1" applyFill="1" applyBorder="1"/>
    <x:xf numFmtId="0" fontId="8" fillId="3" borderId="10" xfId="0" applyNumberFormat="1" applyFont="1" applyFill="1" applyBorder="1"/>
    <x:xf numFmtId="0" fontId="8" fillId="3" borderId="5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4" xfId="0" applyNumberFormat="1" applyFont="1" applyFill="1" applyBorder="1"/>
    <x:xf numFmtId="0" fontId="8" fillId="3" borderId="4" xfId="0" applyNumberFormat="1" applyFont="1" applyFill="1" applyBorder="1"/>
    <x:xf numFmtId="0" fontId="8" fillId="3" borderId="15" xfId="0" applyNumberFormat="1" applyFont="1" applyFill="1" applyBorder="1"/>
    <x:xf numFmtId="0" fontId="8" fillId="3" borderId="10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12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13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15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11" xfId="0" applyNumberFormat="1" applyFont="1" applyFill="1" applyBorder="1" applyAlignment="1">
      <x:alignment vertical="center" wrapText="1"/>
    </x:xf>
    <x:xf numFmtId="0" fontId="8" fillId="3" borderId="12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3" xfId="0" applyNumberFormat="1" applyFont="1" applyFill="1" applyBorder="1" applyAlignment="1">
      <x:alignment vertical="center" wrapText="1"/>
    </x:xf>
    <x:xf numFmtId="0" fontId="8" fillId="3" borderId="14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76E00"/>
      </x:font>
      <x:fill>
        <x:patternFill patternType="solid">
          <x:bgColor rgb="FFFFF4DE"/>
        </x:patternFill>
      </x:fill>
    </x:dxf>
    <x:dxf>
      <x:font>
        <x:b/>
        <x:color rgb="FF1B7F5A"/>
      </x:font>
      <x:fill>
        <x:patternFill patternType="solid">
          <x:bgColor rgb="FFE9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0a94b5ebd4c7b" /><Relationship Type="http://schemas.openxmlformats.org/officeDocument/2006/relationships/theme" Target="/xl/theme/theme1.xml" Id="Rc97c3bb662c2411e" /><Relationship Type="http://schemas.openxmlformats.org/officeDocument/2006/relationships/sharedStrings" Target="/xl/sharedStrings.xml" Id="R1bfed8499494464e" /><Relationship Type="http://schemas.openxmlformats.org/officeDocument/2006/relationships/worksheet" Target="/xl/worksheets/sheet1.xml" Id="R0526688c2e1b467d" /><Relationship Type="http://schemas.openxmlformats.org/officeDocument/2006/relationships/worksheet" Target="/xl/worksheets/sheet2.xml" Id="Rd346003a60ad431a" /><Relationship Type="http://schemas.openxmlformats.org/officeDocument/2006/relationships/worksheet" Target="/xl/worksheets/sheet3.xml" Id="R582ac358ec3648e7" /><Relationship Type="http://schemas.openxmlformats.org/officeDocument/2006/relationships/worksheet" Target="/xl/worksheets/sheet4.xml" Id="Rc61d53da1a3449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30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</x:cols>
  <x:sheetData>
    <x:row r="1" ht="38" customHeight="1">
      <x:c r="A1" s="92" t="str">
        <x:v>LIS iOS Implementation Estimate</x:v>
      </x:c>
      <x:c r="B1" s="92"/>
      <x:c r="C1" s="92"/>
      <x:c r="D1" s="92"/>
      <x:c r="E1" s="92"/>
      <x:c r="F1" s="92"/>
      <x:c r="G1" s="92"/>
      <x:c r="H1" s="92"/>
    </x:row>
    <x:row r="2" ht="27" customHeight="1">
      <x:c r="A2" s="6" t="str">
        <x:v>Greenfield estimate with existing APIs, known Windows/Web behavior and active use of AI development tools</x:v>
      </x:c>
      <x:c r="B2" s="6"/>
      <x:c r="C2" s="6"/>
      <x:c r="D2" s="6"/>
      <x:c r="E2" s="6"/>
      <x:c r="F2" s="6"/>
      <x:c r="G2" s="6"/>
      <x:c r="H2" s="6"/>
    </x:row>
    <x:row r="4">
      <x:c r="A4" s="94" t="str">
        <x:v>BASELINE HOURS</x:v>
      </x:c>
      <x:c r="B4" s="94"/>
      <x:c r="C4" s="94" t="str">
        <x:v>AUTO UPDATE</x:v>
      </x:c>
      <x:c r="D4" s="94"/>
      <x:c r="E4" s="94" t="str">
        <x:v>CONTINGENCY</x:v>
      </x:c>
      <x:c r="F4" s="94"/>
      <x:c r="G4" s="94" t="str">
        <x:v>BUFFERED TOTAL</x:v>
      </x:c>
      <x:c r="H4" s="94"/>
    </x:row>
    <x:row r="5">
      <x:c r="A5" s="100" t="n">
        <x:f>'Detailed Estimate'!D22</x:f>
        <x:v>300</x:v>
      </x:c>
      <x:c r="B5" s="100"/>
      <x:c r="C5" s="100" t="n">
        <x:f>'Auto Layers Update'!D13</x:f>
        <x:v>35</x:v>
      </x:c>
      <x:c r="D5" s="100"/>
      <x:c r="E5" s="101" t="n">
        <x:f>'Assumptions'!D6</x:f>
        <x:v>0.15</x:v>
      </x:c>
      <x:c r="F5" s="101"/>
      <x:c r="G5" s="100" t="n">
        <x:f>A5*(1+E5)</x:f>
        <x:v>345</x:v>
      </x:c>
      <x:c r="H5" s="100"/>
    </x:row>
    <x:row r="6">
      <x:c r="A6" s="100"/>
      <x:c r="B6" s="100"/>
      <x:c r="C6" s="100"/>
      <x:c r="D6" s="100"/>
      <x:c r="E6" s="101"/>
      <x:c r="F6" s="101"/>
      <x:c r="G6" s="100"/>
      <x:c r="H6" s="100"/>
    </x:row>
    <x:row r="8">
      <x:c r="A8" s="45" t="str">
        <x:v>Schedule Metric</x:v>
      </x:c>
      <x:c r="B8" s="45" t="str">
        <x:v>Value</x:v>
      </x:c>
      <x:c r="D8" s="110" t="str">
        <x:v>Workstream</x:v>
      </x:c>
      <x:c r="E8" s="110" t="str">
        <x:v>Hours</x:v>
      </x:c>
      <x:c r="F8" s="110" t="str">
        <x:v>% Total</x:v>
      </x:c>
    </x:row>
    <x:row r="9">
      <x:c r="A9" s="104" t="str">
        <x:v>Productive hours / week</x:v>
      </x:c>
      <x:c r="B9" s="107" t="n">
        <x:f>'Assumptions'!D5</x:f>
        <x:v>35</x:v>
      </x:c>
      <x:c r="D9" s="104" t="str">
        <x:v>Foundation</x:v>
      </x:c>
      <x:c r="E9" s="107" t="n">
        <x:f>SUM('Detailed Estimate'!D6:D7)</x:f>
        <x:v>18</x:v>
      </x:c>
      <x:c r="F9" s="113" t="n">
        <x:f>E9/$A$5</x:f>
        <x:v>0.06</x:v>
      </x:c>
    </x:row>
    <x:row r="10">
      <x:c r="A10" s="105" t="str">
        <x:v>Baseline working weeks</x:v>
      </x:c>
      <x:c r="B10" s="108" t="n">
        <x:f>A5/B9</x:f>
        <x:v>8.571428571428571</x:v>
      </x:c>
      <x:c r="D10" s="105" t="str">
        <x:v>Access &amp; Data</x:v>
      </x:c>
      <x:c r="E10" s="111" t="n">
        <x:f>SUM('Detailed Estimate'!D8:D10)</x:f>
        <x:v>42</x:v>
      </x:c>
      <x:c r="F10" s="114" t="n">
        <x:f>E10/$A$5</x:f>
        <x:v>0.14</x:v>
      </x:c>
    </x:row>
    <x:row r="11">
      <x:c r="A11" s="105" t="str">
        <x:v>Buffered working weeks</x:v>
      </x:c>
      <x:c r="B11" s="108" t="n">
        <x:f>G5/B9</x:f>
        <x:v>9.857142857142858</x:v>
      </x:c>
      <x:c r="D11" s="105" t="str">
        <x:v>Map &amp; Field Workflow</x:v>
      </x:c>
      <x:c r="E11" s="111" t="n">
        <x:f>SUM('Detailed Estimate'!D11:D13)+'Detailed Estimate'!D15+'Detailed Estimate'!D16</x:f>
        <x:v>92</x:v>
      </x:c>
      <x:c r="F11" s="114" t="n">
        <x:f>E11/$A$5</x:f>
        <x:v>0.30666666666666664</x:v>
      </x:c>
    </x:row>
    <x:row r="12">
      <x:c r="A12" s="106" t="str">
        <x:v>Buffered calendar months</x:v>
      </x:c>
      <x:c r="B12" s="109" t="n">
        <x:f>B11/'Assumptions'!D7</x:f>
        <x:v>2.276476410425602</x:v>
      </x:c>
      <x:c r="D12" s="105" t="str">
        <x:v>Reliability &amp; Delivery</x:v>
      </x:c>
      <x:c r="E12" s="111" t="n">
        <x:f>'Detailed Estimate'!D14+'Detailed Estimate'!D17+'Detailed Estimate'!D18+'Detailed Estimate'!D19</x:f>
        <x:v>66</x:v>
      </x:c>
      <x:c r="F12" s="114" t="n">
        <x:f>E12/$A$5</x:f>
        <x:v>0.22</x:v>
      </x:c>
    </x:row>
    <x:row r="13">
      <x:c r="D13" s="105" t="str">
        <x:v>Auto Layers Update</x:v>
      </x:c>
      <x:c r="E13" s="111" t="n">
        <x:f>'Detailed Estimate'!D20</x:f>
        <x:v>35</x:v>
      </x:c>
      <x:c r="F13" s="114" t="n">
        <x:f>E13/$A$5</x:f>
        <x:v>0.11666666666666667</x:v>
      </x:c>
    </x:row>
    <x:row r="14">
      <x:c r="D14" s="106" t="str">
        <x:v>Testing &amp; Release</x:v>
      </x:c>
      <x:c r="E14" s="112" t="n">
        <x:f>'Detailed Estimate'!D21</x:f>
        <x:v>47</x:v>
      </x:c>
      <x:c r="F14" s="115" t="n">
        <x:f>E14/$A$5</x:f>
        <x:v>0.15666666666666668</x:v>
      </x:c>
    </x:row>
    <x:row r="16">
      <x:c r="A16" s="45" t="str">
        <x:v>Key Scope Notes</x:v>
      </x:c>
      <x:c r="B16" s="45"/>
      <x:c r="C16" s="45"/>
      <x:c r="D16" s="45"/>
      <x:c r="E16" s="45"/>
      <x:c r="F16" s="45"/>
      <x:c r="G16" s="45"/>
      <x:c r="H16" s="45"/>
    </x:row>
    <x:row r="17" ht="27" customHeight="1">
      <x:c r="A17" s="134" t="str">
        <x:v>• The 300-hour baseline assumes zero iOS implementation credit and includes the automatic monthly map/layer update capability.</x:v>
      </x:c>
      <x:c r="B17" s="135"/>
      <x:c r="C17" s="135"/>
      <x:c r="D17" s="135"/>
      <x:c r="E17" s="135"/>
      <x:c r="F17" s="135"/>
      <x:c r="G17" s="135"/>
      <x:c r="H17" s="136"/>
    </x:row>
    <x:row r="18" ht="27" customHeight="1">
      <x:c r="A18" s="137" t="str">
        <x:v>• Existing stable APIs, known LIS Desktop/Web behavior and AI development tools are reflected in the estimate.</x:v>
      </x:c>
      <x:c r="B18" s="138"/>
      <x:c r="C18" s="138"/>
      <x:c r="D18" s="138"/>
      <x:c r="E18" s="138"/>
      <x:c r="F18" s="138"/>
      <x:c r="G18" s="138"/>
      <x:c r="H18" s="139"/>
    </x:row>
    <x:row r="19" ht="27" customHeight="1">
      <x:c r="A19" s="137" t="str">
        <x:v>• A 15% contingency is shown separately; it is not hidden inside the 300 baseline hours.</x:v>
      </x:c>
      <x:c r="B19" s="138"/>
      <x:c r="C19" s="138"/>
      <x:c r="D19" s="138"/>
      <x:c r="E19" s="138"/>
      <x:c r="F19" s="138"/>
      <x:c r="G19" s="138"/>
      <x:c r="H19" s="139"/>
    </x:row>
    <x:row r="20" ht="27" customHeight="1">
      <x:c r="A20" s="140" t="str">
        <x:v>• Calendar duration depends on device access, review cycles, API stability and field-test availability.</x:v>
      </x:c>
      <x:c r="B20" s="141"/>
      <x:c r="C20" s="141"/>
      <x:c r="D20" s="141"/>
      <x:c r="E20" s="141"/>
      <x:c r="F20" s="141"/>
      <x:c r="G20" s="141"/>
      <x:c r="H20" s="142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" hidden="0" customWidth="1"/>
    <x:col min="3" max="3" width="57" hidden="0" customWidth="1"/>
    <x:col min="4" max="4" width="10" hidden="0" customWidth="1"/>
    <x:col min="5" max="5" width="11" hidden="0" customWidth="1"/>
    <x:col min="6" max="6" width="31" hidden="0" customWidth="1"/>
    <x:col min="7" max="7" width="26" hidden="0" customWidth="1"/>
    <x:col min="8" max="8" width="12" hidden="0" customWidth="1"/>
  </x:cols>
  <x:sheetData>
    <x:row r="1" ht="34" customHeight="1">
      <x:c r="A1" s="3" t="str">
        <x:v>LIS iOS — Greenfield Implementation Estimate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Baseline target: 300 hours. Estimate assumes the iOS application has not been built yet.</x:v>
      </x:c>
      <x:c r="B2" s="6"/>
      <x:c r="C2" s="6"/>
      <x:c r="D2" s="6"/>
      <x:c r="E2" s="6"/>
      <x:c r="F2" s="6"/>
      <x:c r="G2" s="6"/>
      <x:c r="H2" s="6"/>
    </x:row>
    <x:row r="5" ht="30" customHeight="1">
      <x:c r="A5" s="18" t="str">
        <x:v>ID</x:v>
      </x:c>
      <x:c r="B5" s="19" t="str">
        <x:v>Module</x:v>
      </x:c>
      <x:c r="C5" s="19" t="str">
        <x:v>Scope / Included Work</x:v>
      </x:c>
      <x:c r="D5" s="19" t="str">
        <x:v>Hours</x:v>
      </x:c>
      <x:c r="E5" s="19" t="str">
        <x:v>% Total</x:v>
      </x:c>
      <x:c r="F5" s="19" t="str">
        <x:v>Primary Deliverable</x:v>
      </x:c>
      <x:c r="G5" s="19" t="str">
        <x:v>Dependency</x:v>
      </x:c>
      <x:c r="H5" s="20" t="str">
        <x:v>Risk</x:v>
      </x:c>
    </x:row>
    <x:row r="6" ht="46" customHeight="1">
      <x:c r="A6" s="58" t="n">
        <x:v>1</x:v>
      </x:c>
      <x:c r="B6" s="58" t="str">
        <x:v>Project Setup &amp; Release Foundation</x:v>
      </x:c>
      <x:c r="C6" s="58" t="str">
        <x:v>Xcode project, environments, dependency setup, configuration, signing baseline and app structure.</x:v>
      </x:c>
      <x:c r="D6" s="59" t="n">
        <x:v>8</x:v>
      </x:c>
      <x:c r="E6" s="60" t="n">
        <x:f>D6/$D$22</x:f>
        <x:v>0.02666666666666667</x:v>
      </x:c>
      <x:c r="F6" s="58" t="str">
        <x:v>Buildable project foundation</x:v>
      </x:c>
      <x:c r="G6" s="58" t="str">
        <x:v>Apple account / Xcode</x:v>
      </x:c>
      <x:c r="H6" s="58" t="str">
        <x:v>Low</x:v>
      </x:c>
    </x:row>
    <x:row r="7" ht="46" customHeight="1">
      <x:c r="A7" s="29" t="n">
        <x:v>2</x:v>
      </x:c>
      <x:c r="B7" s="29" t="str">
        <x:v>Architecture &amp; Core Models</x:v>
      </x:c>
      <x:c r="C7" s="29" t="str">
        <x:v>App state, domain models, service/repository boundaries, shared errors and dependency injection.</x:v>
      </x:c>
      <x:c r="D7" s="36" t="n">
        <x:v>10</x:v>
      </x:c>
      <x:c r="E7" s="40" t="n">
        <x:f>D7/$D$22</x:f>
        <x:v>0.03333333333333333</x:v>
      </x:c>
      <x:c r="F7" s="29" t="str">
        <x:v>Maintainable SwiftUI architecture</x:v>
      </x:c>
      <x:c r="G7" s="29" t="str">
        <x:v>Project setup</x:v>
      </x:c>
      <x:c r="H7" s="29" t="str">
        <x:v>Low</x:v>
      </x:c>
    </x:row>
    <x:row r="8" ht="46" customHeight="1">
      <x:c r="A8" s="61" t="n">
        <x:v>3</x:v>
      </x:c>
      <x:c r="B8" s="61" t="str">
        <x:v>Authentication &amp; Regio</x:v>
      </x:c>
      <x:c r="C8" s="61" t="str">
        <x:v>Keycloak login, Keychain storage, session expiry/refresh, /auth/me, logout and regio resolution.</x:v>
      </x:c>
      <x:c r="D8" s="62" t="n">
        <x:v>16</x:v>
      </x:c>
      <x:c r="E8" s="63" t="n">
        <x:f>D8/$D$22</x:f>
        <x:v>0.05333333333333334</x:v>
      </x:c>
      <x:c r="F8" s="61" t="str">
        <x:v>Secure authenticated session</x:v>
      </x:c>
      <x:c r="G8" s="61" t="str">
        <x:v>Stable auth APIs</x:v>
      </x:c>
      <x:c r="H8" s="61" t="str">
        <x:v>Medium</x:v>
      </x:c>
    </x:row>
    <x:row r="9" ht="46" customHeight="1">
      <x:c r="A9" s="29" t="n">
        <x:v>4</x:v>
      </x:c>
      <x:c r="B9" s="29" t="str">
        <x:v>API Client &amp; DTO Mapping</x:v>
      </x:c>
      <x:c r="C9" s="29" t="str">
        <x:v>Reusable API client, request/response handling, DTOs, model mappers and authenticated calls.</x:v>
      </x:c>
      <x:c r="D9" s="36" t="n">
        <x:v>14</x:v>
      </x:c>
      <x:c r="E9" s="40" t="n">
        <x:f>D9/$D$22</x:f>
        <x:v>0.04666666666666667</x:v>
      </x:c>
      <x:c r="F9" s="29" t="str">
        <x:v>Typed API integration layer</x:v>
      </x:c>
      <x:c r="G9" s="29" t="str">
        <x:v>Authentication</x:v>
      </x:c>
      <x:c r="H9" s="29" t="str">
        <x:v>Medium</x:v>
      </x:c>
    </x:row>
    <x:row r="10" ht="46" customHeight="1">
      <x:c r="A10" s="61" t="n">
        <x:v>5</x:v>
      </x:c>
      <x:c r="B10" s="61" t="str">
        <x:v>Flight Plan Selection &amp; Opening</x:v>
      </x:c>
      <x:c r="C10" s="61" t="str">
        <x:v>Fetch regional plans, list/select/open flow, download required data and create active session.</x:v>
      </x:c>
      <x:c r="D10" s="62" t="n">
        <x:v>12</x:v>
      </x:c>
      <x:c r="E10" s="63" t="n">
        <x:f>D10/$D$22</x:f>
        <x:v>0.04</x:v>
      </x:c>
      <x:c r="F10" s="61" t="str">
        <x:v>Usable plan preparation flow</x:v>
      </x:c>
      <x:c r="G10" s="61" t="str">
        <x:v>API client</x:v>
      </x:c>
      <x:c r="H10" s="61" t="str">
        <x:v>Low</x:v>
      </x:c>
    </x:row>
    <x:row r="11" ht="46" customHeight="1">
      <x:c r="A11" s="29" t="n">
        <x:v>6</x:v>
      </x:c>
      <x:c r="B11" s="29" t="str">
        <x:v>Offline TPK/TPKX Basemap</x:v>
      </x:c>
      <x:c r="C11" s="29" t="str">
        <x:v>Import, validate, store and load offline tile packages; missing/corrupt/storage handling.</x:v>
      </x:c>
      <x:c r="D11" s="36" t="n">
        <x:v>14</x:v>
      </x:c>
      <x:c r="E11" s="40" t="n">
        <x:f>D11/$D$22</x:f>
        <x:v>0.04666666666666667</x:v>
      </x:c>
      <x:c r="F11" s="29" t="str">
        <x:v>Reliable offline basemap</x:v>
      </x:c>
      <x:c r="G11" s="29" t="str">
        <x:v>ArcGIS SDK</x:v>
      </x:c>
      <x:c r="H11" s="29" t="str">
        <x:v>Medium</x:v>
      </x:c>
    </x:row>
    <x:row r="12" ht="46" customHeight="1">
      <x:c r="A12" s="61" t="n">
        <x:v>7</x:v>
      </x:c>
      <x:c r="B12" s="61" t="str">
        <x:v>Map Workspace &amp; Geometry Layers</x:v>
      </x:c>
      <x:c r="C12" s="61" t="str">
        <x:v>ArcGIS map, points, lines, polygons, symbols, selection, locked layers and map interactions.</x:v>
      </x:c>
      <x:c r="D12" s="62" t="n">
        <x:v>26</x:v>
      </x:c>
      <x:c r="E12" s="63" t="n">
        <x:f>D12/$D$22</x:f>
        <x:v>0.08666666666666667</x:v>
      </x:c>
      <x:c r="F12" s="61" t="str">
        <x:v>Operational inspection map</x:v>
      </x:c>
      <x:c r="G12" s="61" t="str">
        <x:v>Plans + basemap</x:v>
      </x:c>
      <x:c r="H12" s="61" t="str">
        <x:v>High</x:v>
      </x:c>
    </x:row>
    <x:row r="13" ht="46" customHeight="1">
      <x:c r="A13" s="29" t="n">
        <x:v>8</x:v>
      </x:c>
      <x:c r="B13" s="29" t="str">
        <x:v>Inspection Workflow</x:v>
      </x:c>
      <x:c r="C13" s="29" t="str">
        <x:v>Shared point/geometry form, notes, statuses, item colors, open-item workflow and list/map synchronization.</x:v>
      </x:c>
      <x:c r="D13" s="36" t="n">
        <x:v>20</x:v>
      </x:c>
      <x:c r="E13" s="40" t="n">
        <x:f>D13/$D$22</x:f>
        <x:v>0.06666666666666667</x:v>
      </x:c>
      <x:c r="F13" s="29" t="str">
        <x:v>Complete local inspection flow</x:v>
      </x:c>
      <x:c r="G13" s="29" t="str">
        <x:v>Map workspace</x:v>
      </x:c>
      <x:c r="H13" s="29" t="str">
        <x:v>Medium</x:v>
      </x:c>
    </x:row>
    <x:row r="14" ht="46" customHeight="1">
      <x:c r="A14" s="61" t="n">
        <x:v>9</x:v>
      </x:c>
      <x:c r="B14" s="61" t="str">
        <x:v>Local Storage &amp; Recovery</x:v>
      </x:c>
      <x:c r="C14" s="61" t="str">
        <x:v>Autosave, active-session JSON, finished plans, atomic writes, restart/crash recovery and safe cleanup.</x:v>
      </x:c>
      <x:c r="D14" s="62" t="n">
        <x:v>24</x:v>
      </x:c>
      <x:c r="E14" s="63" t="n">
        <x:f>D14/$D$22</x:f>
        <x:v>0.08</x:v>
      </x:c>
      <x:c r="F14" s="61" t="str">
        <x:v>No-loss local-first storage</x:v>
      </x:c>
      <x:c r="G14" s="61" t="str">
        <x:v>Core models</x:v>
      </x:c>
      <x:c r="H14" s="61" t="str">
        <x:v>High</x:v>
      </x:c>
    </x:row>
    <x:row r="15" ht="46" customHeight="1">
      <x:c r="A15" s="29" t="n">
        <x:v>10</x:v>
      </x:c>
      <x:c r="B15" s="29" t="str">
        <x:v>GPS, Helicopter &amp; Flight Path</x:v>
      </x:c>
      <x:c r="C15" s="29" t="str">
        <x:v>CoreLocation permissions, current position, speed/altitude/course, red path and local track storage.</x:v>
      </x:c>
      <x:c r="D15" s="36" t="n">
        <x:v>16</x:v>
      </x:c>
      <x:c r="E15" s="40" t="n">
        <x:f>D15/$D$22</x:f>
        <x:v>0.05333333333333334</x:v>
      </x:c>
      <x:c r="F15" s="29" t="str">
        <x:v>Live flight navigation data</x:v>
      </x:c>
      <x:c r="G15" s="29" t="str">
        <x:v>Map + local storage</x:v>
      </x:c>
      <x:c r="H15" s="29" t="str">
        <x:v>Medium</x:v>
      </x:c>
    </x:row>
    <x:row r="16" ht="46" customHeight="1">
      <x:c r="A16" s="61" t="n">
        <x:v>11</x:v>
      </x:c>
      <x:c r="B16" s="61" t="str">
        <x:v>Photos &amp; Attachments</x:v>
      </x:c>
      <x:c r="C16" s="61" t="str">
        <x:v>Camera, photo library/files, local originals/thumbnails, point/geometry attachment and safe retention.</x:v>
      </x:c>
      <x:c r="D16" s="62" t="n">
        <x:v>16</x:v>
      </x:c>
      <x:c r="E16" s="63" t="n">
        <x:f>D16/$D$22</x:f>
        <x:v>0.05333333333333334</x:v>
      </x:c>
      <x:c r="F16" s="61" t="str">
        <x:v>Local-first photo workflow</x:v>
      </x:c>
      <x:c r="G16" s="61" t="str">
        <x:v>Inspection + storage</x:v>
      </x:c>
      <x:c r="H16" s="61" t="str">
        <x:v>Medium</x:v>
      </x:c>
    </x:row>
    <x:row r="17" ht="46" customHeight="1">
      <x:c r="A17" s="29" t="n">
        <x:v>12</x:v>
      </x:c>
      <x:c r="B17" s="29" t="str">
        <x:v>Timer &amp; Action Logs</x:v>
      </x:c>
      <x:c r="C17" s="29" t="str">
        <x:v>Start/pause/resume timer, persisted timer state, essential action logging and logs payload.</x:v>
      </x:c>
      <x:c r="D17" s="36" t="n">
        <x:v>8</x:v>
      </x:c>
      <x:c r="E17" s="40" t="n">
        <x:f>D17/$D$22</x:f>
        <x:v>0.02666666666666667</x:v>
      </x:c>
      <x:c r="F17" s="29" t="str">
        <x:v>Persisted timer and logs</x:v>
      </x:c>
      <x:c r="G17" s="29" t="str">
        <x:v>Local storage</x:v>
      </x:c>
      <x:c r="H17" s="29" t="str">
        <x:v>Low</x:v>
      </x:c>
    </x:row>
    <x:row r="18" ht="46" customHeight="1">
      <x:c r="A18" s="61" t="n">
        <x:v>13</x:v>
      </x:c>
      <x:c r="B18" s="61" t="str">
        <x:v>Finish, Upload &amp; Retry</x:v>
      </x:c>
      <x:c r="C18" s="61" t="str">
        <x:v>Afronden/Verstuur, finished local plan, ArcGIS photo upload, plan/log uploads, retry and duplicate protection.</x:v>
      </x:c>
      <x:c r="D18" s="62" t="n">
        <x:v>26</x:v>
      </x:c>
      <x:c r="E18" s="63" t="n">
        <x:f>D18/$D$22</x:f>
        <x:v>0.08666666666666667</x:v>
      </x:c>
      <x:c r="F18" s="61" t="str">
        <x:v>Reliable manual upload pipeline</x:v>
      </x:c>
      <x:c r="G18" s="61" t="str">
        <x:v>Auth + storage + photos</x:v>
      </x:c>
      <x:c r="H18" s="61" t="str">
        <x:v>High</x:v>
      </x:c>
    </x:row>
    <x:row r="19" ht="46" customHeight="1">
      <x:c r="A19" s="29" t="n">
        <x:v>14</x:v>
      </x:c>
      <x:c r="B19" s="29" t="str">
        <x:v>Settings &amp; Critical Error Handling</x:v>
      </x:c>
      <x:c r="C19" s="29" t="str">
        <x:v>Logout, pending uploads, storage/map status, permission errors and safe destructive confirmations.</x:v>
      </x:c>
      <x:c r="D19" s="36" t="n">
        <x:v>8</x:v>
      </x:c>
      <x:c r="E19" s="40" t="n">
        <x:f>D19/$D$22</x:f>
        <x:v>0.02666666666666667</x:v>
      </x:c>
      <x:c r="F19" s="29" t="str">
        <x:v>Basic support and recovery UI</x:v>
      </x:c>
      <x:c r="G19" s="29" t="str">
        <x:v>All core modules</x:v>
      </x:c>
      <x:c r="H19" s="29" t="str">
        <x:v>Medium</x:v>
      </x:c>
    </x:row>
    <x:row r="20" ht="46" customHeight="1">
      <x:c r="A20" s="61" t="n">
        <x:v>15</x:v>
      </x:c>
      <x:c r="B20" s="61" t="str">
        <x:v>Automatic TPK/Layers Update</x:v>
      </x:c>
      <x:c r="C20" s="61" t="str">
        <x:v>Monthly server job, version manifest, app update check, background download, validation, safe swap and rollback.</x:v>
      </x:c>
      <x:c r="D20" s="62" t="n">
        <x:v>35</x:v>
      </x:c>
      <x:c r="E20" s="63" t="n">
        <x:f>D20/$D$22</x:f>
        <x:v>0.11666666666666667</x:v>
      </x:c>
      <x:c r="F20" s="61" t="str">
        <x:v>Automated versioned map updates</x:v>
      </x:c>
      <x:c r="G20" s="61" t="str">
        <x:v>Hosted packages + connectivity</x:v>
      </x:c>
      <x:c r="H20" s="61" t="str">
        <x:v>High</x:v>
      </x:c>
    </x:row>
    <x:row r="21" ht="46" customHeight="1">
      <x:c r="A21" s="30" t="n">
        <x:v>16</x:v>
      </x:c>
      <x:c r="B21" s="30" t="str">
        <x:v>Testing, Field QA &amp; TestFlight</x:v>
      </x:c>
      <x:c r="C21" s="30" t="str">
        <x:v>Unit/integration/UI tests, real iPad, offline/crash/auth/upload cases, fixes, archive and TestFlight release.</x:v>
      </x:c>
      <x:c r="D21" s="37" t="n">
        <x:v>47</x:v>
      </x:c>
      <x:c r="E21" s="41" t="n">
        <x:f>D21/$D$22</x:f>
        <x:v>0.15666666666666668</x:v>
      </x:c>
      <x:c r="F21" s="30" t="str">
        <x:v>Pilot-ready tested build</x:v>
      </x:c>
      <x:c r="G21" s="30" t="str">
        <x:v>All modules</x:v>
      </x:c>
      <x:c r="H21" s="30" t="str">
        <x:v>High</x:v>
      </x:c>
    </x:row>
    <x:row r="22" ht="28" customHeight="1">
      <x:c r="A22" s="53" t="str">
        <x:v>TOTAL BASELINE ESTIMATE</x:v>
      </x:c>
      <x:c r="B22" s="54"/>
      <x:c r="C22" s="54"/>
      <x:c r="D22" s="55" t="n">
        <x:f>SUM(D6:D21)</x:f>
        <x:v>300</x:v>
      </x:c>
      <x:c r="E22" s="56" t="n">
        <x:f>SUM(E6:E21)</x:f>
        <x:v>1</x:v>
      </x:c>
      <x:c r="F22" s="54" t="str">
        <x:v>Target total excludes contingency</x:v>
      </x:c>
      <x:c r="G22" s="54"/>
      <x:c r="H22" s="57"/>
    </x:row>
  </x:sheetData>
  <x:mergeCells>
    <x:mergeCell ref="A1:H1"/>
    <x:mergeCell ref="A2:H2"/>
    <x:mergeCell ref="A22:C22"/>
    <x:mergeCell ref="F22:H22"/>
  </x:mergeCells>
  <x:conditionalFormatting sqref="H6:H21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62" hidden="0" customWidth="1"/>
    <x:col min="4" max="4" width="10" hidden="0" customWidth="1"/>
    <x:col min="5" max="5" width="16" hidden="0" customWidth="1"/>
    <x:col min="6" max="6" width="31" hidden="0" customWidth="1"/>
  </x:cols>
  <x:sheetData>
    <x:row r="1" ht="34" customHeight="1">
      <x:c r="A1" s="65" t="str">
        <x:v>Automatic TPK / Operational Layers Update — 35 Hours</x:v>
      </x:c>
      <x:c r="B1" s="65"/>
      <x:c r="C1" s="65"/>
      <x:c r="D1" s="65"/>
      <x:c r="E1" s="65"/>
      <x:c r="F1" s="65"/>
    </x:row>
    <x:row r="2" ht="30" customHeight="1">
      <x:c r="A2" s="66" t="str">
        <x:v>Recommended design: server-side monthly generation and publishing; iOS checks, downloads, validates and swaps safely.</x:v>
      </x:c>
      <x:c r="B2" s="66"/>
      <x:c r="C2" s="66"/>
      <x:c r="D2" s="66"/>
      <x:c r="E2" s="66"/>
      <x:c r="F2" s="66"/>
    </x:row>
    <x:row r="5">
      <x:c r="A5" s="69" t="str">
        <x:v>ID</x:v>
      </x:c>
      <x:c r="B5" s="69" t="str">
        <x:v>Work Item</x:v>
      </x:c>
      <x:c r="C5" s="69" t="str">
        <x:v>Included Work</x:v>
      </x:c>
      <x:c r="D5" s="69" t="str">
        <x:v>Hours</x:v>
      </x:c>
      <x:c r="E5" s="69" t="str">
        <x:v>% Auto Update</x:v>
      </x:c>
      <x:c r="F5" s="69" t="str">
        <x:v>Output</x:v>
      </x:c>
    </x:row>
    <x:row r="6" ht="45" customHeight="1">
      <x:c r="A6" s="58" t="n">
        <x:v>1</x:v>
      </x:c>
      <x:c r="B6" s="58" t="str">
        <x:v>Update Architecture</x:v>
      </x:c>
      <x:c r="C6" s="58" t="str">
        <x:v>Package/layer ownership, region strategy, version rules and update lifecycle.</x:v>
      </x:c>
      <x:c r="D6" s="59" t="n">
        <x:v>5</x:v>
      </x:c>
      <x:c r="E6" s="60" t="n">
        <x:f>D6/$D$13</x:f>
        <x:v>0.14285714285714285</x:v>
      </x:c>
      <x:c r="F6" s="58" t="str">
        <x:v>Approved update design</x:v>
      </x:c>
    </x:row>
    <x:row r="7" ht="45" customHeight="1">
      <x:c r="A7" s="29" t="n">
        <x:v>2</x:v>
      </x:c>
      <x:c r="B7" s="29" t="str">
        <x:v>Monthly Generation Job</x:v>
      </x:c>
      <x:c r="C7" s="29" t="str">
        <x:v>Scheduled server script/job that generates or publishes the new package/layer release.</x:v>
      </x:c>
      <x:c r="D7" s="36" t="n">
        <x:v>7</x:v>
      </x:c>
      <x:c r="E7" s="40" t="n">
        <x:f>D7/$D$13</x:f>
        <x:v>0.2</x:v>
      </x:c>
      <x:c r="F7" s="29" t="str">
        <x:v>Repeatable monthly job</x:v>
      </x:c>
    </x:row>
    <x:row r="8" ht="45" customHeight="1">
      <x:c r="A8" s="61" t="n">
        <x:v>3</x:v>
      </x:c>
      <x:c r="B8" s="61" t="str">
        <x:v>Manifest &amp; Integrity Metadata</x:v>
      </x:c>
      <x:c r="C8" s="61" t="str">
        <x:v>Version, publish date, URL, size, SHA-256, minimum app version and region metadata.</x:v>
      </x:c>
      <x:c r="D8" s="62" t="n">
        <x:v>4</x:v>
      </x:c>
      <x:c r="E8" s="63" t="n">
        <x:f>D8/$D$13</x:f>
        <x:v>0.11428571428571428</x:v>
      </x:c>
      <x:c r="F8" s="61" t="str">
        <x:v>Version manifest endpoint/file</x:v>
      </x:c>
    </x:row>
    <x:row r="9" ht="45" customHeight="1">
      <x:c r="A9" s="29" t="n">
        <x:v>4</x:v>
      </x:c>
      <x:c r="B9" s="29" t="str">
        <x:v>iOS Version Check</x:v>
      </x:c>
      <x:c r="C9" s="29" t="str">
        <x:v>Check on launch/network return/manual refresh; compare installed and available versions.</x:v>
      </x:c>
      <x:c r="D9" s="36" t="n">
        <x:v>5</x:v>
      </x:c>
      <x:c r="E9" s="40" t="n">
        <x:f>D9/$D$13</x:f>
        <x:v>0.14285714285714285</x:v>
      </x:c>
      <x:c r="F9" s="29" t="str">
        <x:v>Update availability manager</x:v>
      </x:c>
    </x:row>
    <x:row r="10" ht="45" customHeight="1">
      <x:c r="A10" s="61" t="n">
        <x:v>5</x:v>
      </x:c>
      <x:c r="B10" s="61" t="str">
        <x:v>Background Download &amp; Storage</x:v>
      </x:c>
      <x:c r="C10" s="61" t="str">
        <x:v>Background URLSession, progress, space checks, temporary file and resumable behavior.</x:v>
      </x:c>
      <x:c r="D10" s="62" t="n">
        <x:v>5</x:v>
      </x:c>
      <x:c r="E10" s="63" t="n">
        <x:f>D10/$D$13</x:f>
        <x:v>0.14285714285714285</x:v>
      </x:c>
      <x:c r="F10" s="61" t="str">
        <x:v>Reliable package download</x:v>
      </x:c>
    </x:row>
    <x:row r="11" ht="45" customHeight="1">
      <x:c r="A11" s="29" t="n">
        <x:v>6</x:v>
      </x:c>
      <x:c r="B11" s="29" t="str">
        <x:v>Validation, Atomic Swap &amp; Rollback</x:v>
      </x:c>
      <x:c r="C11" s="29" t="str">
        <x:v>Verify integrity and ArcGIS load, avoid active-flight replacement, preserve last-known-good version.</x:v>
      </x:c>
      <x:c r="D11" s="36" t="n">
        <x:v>5</x:v>
      </x:c>
      <x:c r="E11" s="40" t="n">
        <x:f>D11/$D$13</x:f>
        <x:v>0.14285714285714285</x:v>
      </x:c>
      <x:c r="F11" s="29" t="str">
        <x:v>Safe activation and rollback</x:v>
      </x:c>
    </x:row>
    <x:row r="12" ht="45" customHeight="1">
      <x:c r="A12" s="70" t="n">
        <x:v>7</x:v>
      </x:c>
      <x:c r="B12" s="70" t="str">
        <x:v>Update QA &amp; Failure Scenarios</x:v>
      </x:c>
      <x:c r="C12" s="70" t="str">
        <x:v>Interrupted download, invalid manifest/package, low storage, offline mode and monthly rerun testing.</x:v>
      </x:c>
      <x:c r="D12" s="82" t="n">
        <x:v>4</x:v>
      </x:c>
      <x:c r="E12" s="83" t="n">
        <x:f>D12/$D$13</x:f>
        <x:v>0.11428571428571428</x:v>
      </x:c>
      <x:c r="F12" s="70" t="str">
        <x:v>Verified failure-safe update flow</x:v>
      </x:c>
    </x:row>
    <x:row r="13">
      <x:c r="A13" s="71" t="str">
        <x:v>AUTO UPDATE TOTAL</x:v>
      </x:c>
      <x:c r="B13" s="71"/>
      <x:c r="C13" s="71"/>
      <x:c r="D13" s="84" t="n">
        <x:f>SUM(D6:D12)</x:f>
        <x:v>35</x:v>
      </x:c>
      <x:c r="E13" s="85" t="n">
        <x:f>SUM(E6:E12)</x:f>
        <x:v>1</x:v>
      </x:c>
      <x:c r="F13" s="71" t="str">
        <x:v>Included in 300-hour baseline</x:v>
      </x:c>
    </x:row>
  </x:sheetData>
  <x:mergeCells>
    <x:mergeCell ref="A1:F1"/>
    <x:mergeCell ref="A2:F2"/>
    <x:mergeCell ref="A13:C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58" hidden="0" customWidth="1"/>
    <x:col min="4" max="4" width="42" hidden="0" customWidth="1"/>
  </x:cols>
  <x:sheetData>
    <x:row r="1" ht="34" customHeight="1">
      <x:c r="A1" s="65" t="str">
        <x:v>Estimate Assumptions &amp; Boundaries</x:v>
      </x:c>
      <x:c r="B1" s="65"/>
      <x:c r="C1" s="65"/>
      <x:c r="D1" s="65"/>
    </x:row>
    <x:row r="4">
      <x:c r="A4" s="8" t="str">
        <x:v>Planning Input</x:v>
      </x:c>
      <x:c r="B4" s="8"/>
      <x:c r="C4" s="8"/>
      <x:c r="D4" s="8" t="str">
        <x:v>Value</x:v>
      </x:c>
    </x:row>
    <x:row r="5">
      <x:c r="A5" t="str">
        <x:v>Productive hours / week</x:v>
      </x:c>
      <x:c r="D5" s="86" t="n">
        <x:v>35</x:v>
      </x:c>
    </x:row>
    <x:row r="6">
      <x:c r="A6" t="str">
        <x:v>Contingency</x:v>
      </x:c>
      <x:c r="D6" s="87" t="n">
        <x:v>0.15</x:v>
      </x:c>
    </x:row>
    <x:row r="7">
      <x:c r="A7" t="str">
        <x:v>Weeks / month</x:v>
      </x:c>
      <x:c r="D7" s="88" t="n">
        <x:v>4.33</x:v>
      </x:c>
    </x:row>
    <x:row r="8">
      <x:c r="A8" t="str">
        <x:v>Baseline scope starts from</x:v>
      </x:c>
      <x:c r="D8" t="str">
        <x:v>Greenfield / zero implementation</x:v>
      </x:c>
    </x:row>
    <x:row r="11">
      <x:c r="A11" s="68" t="str">
        <x:v>#</x:v>
      </x:c>
      <x:c r="B11" s="68" t="str">
        <x:v>Assumption</x:v>
      </x:c>
      <x:c r="C11" s="68" t="str">
        <x:v>Included Interpretation</x:v>
      </x:c>
      <x:c r="D11" s="68" t="str">
        <x:v>Impact if False</x:v>
      </x:c>
    </x:row>
    <x:row r="12" ht="48" customHeight="1">
      <x:c r="A12" s="58" t="n">
        <x:v>1</x:v>
      </x:c>
      <x:c r="B12" s="58" t="str">
        <x:v>Existing APIs are available and stable</x:v>
      </x:c>
      <x:c r="C12" s="58" t="str">
        <x:v>No major backend redesign; endpoint contracts can be consumed from Swift.</x:v>
      </x:c>
      <x:c r="D12" s="58" t="str">
        <x:v>Add backend analysis/change hours.</x:v>
      </x:c>
    </x:row>
    <x:row r="13" ht="48" customHeight="1">
      <x:c r="A13" s="29" t="n">
        <x:v>2</x:v>
      </x:c>
      <x:c r="B13" s="29" t="str">
        <x:v>Windows/Web workflows are the functional reference</x:v>
      </x:c>
      <x:c r="C13" s="29" t="str">
        <x:v>Business rules and expected behavior are known; limited discovery is needed.</x:v>
      </x:c>
      <x:c r="D13" s="29" t="str">
        <x:v>Add product discovery and specification time.</x:v>
      </x:c>
    </x:row>
    <x:row r="14" ht="48" customHeight="1">
      <x:c r="A14" s="61" t="n">
        <x:v>3</x:v>
      </x:c>
      <x:c r="B14" s="61" t="str">
        <x:v>AI coding tools are used actively</x:v>
      </x:c>
      <x:c r="C14" s="61" t="str">
        <x:v>AI accelerates models, DTOs, SwiftUI scaffolding, refactors and test generation.</x:v>
      </x:c>
      <x:c r="D14" s="61" t="str">
        <x:v>Increase implementation hours by approximately 20–35%.</x:v>
      </x:c>
    </x:row>
    <x:row r="15" ht="48" customHeight="1">
      <x:c r="A15" s="29" t="n">
        <x:v>4</x:v>
      </x:c>
      <x:c r="B15" s="29" t="str">
        <x:v>One experienced Swift developer</x:v>
      </x:c>
      <x:c r="C15" s="29" t="str">
        <x:v>Estimate is effort, not a fixed calendar promise; parallel staffing is not assumed.</x:v>
      </x:c>
      <x:c r="D15" s="29" t="str">
        <x:v>Ramp-up or coordination changes duration.</x:v>
      </x:c>
    </x:row>
    <x:row r="16" ht="48" customHeight="1">
      <x:c r="A16" s="61" t="n">
        <x:v>5</x:v>
      </x:c>
      <x:c r="B16" s="61" t="str">
        <x:v>Auto update uses a server-side monthly schedule</x:v>
      </x:c>
      <x:c r="C16" s="61" t="str">
        <x:v>iOS checks/downloads when allowed; iOS does not guarantee exact monthly background execution.</x:v>
      </x:c>
      <x:c r="D16" s="61" t="str">
        <x:v>A different update architecture may add scope.</x:v>
      </x:c>
    </x:row>
    <x:row r="17" ht="48" customHeight="1">
      <x:c r="A17" s="29" t="n">
        <x:v>6</x:v>
      </x:c>
      <x:c r="B17" s="29" t="str">
        <x:v>TPK/TPKX package hosting is available</x:v>
      </x:c>
      <x:c r="C17" s="29" t="str">
        <x:v>A protected file location or simple endpoint can serve versioned packages and manifest.</x:v>
      </x:c>
      <x:c r="D17" s="29" t="str">
        <x:v>Add infrastructure/security implementation.</x:v>
      </x:c>
    </x:row>
    <x:row r="18" ht="48" customHeight="1">
      <x:c r="A18" s="61" t="n">
        <x:v>7</x:v>
      </x:c>
      <x:c r="B18" s="61" t="str">
        <x:v>No advanced Phase-2 extras</x:v>
      </x:c>
      <x:c r="C18" s="61" t="str">
        <x:v>No background GPS, external GNSS, advanced admin console or complex conflict resolution.</x:v>
      </x:c>
      <x:c r="D18" s="61" t="str">
        <x:v>Estimate separately if requested.</x:v>
      </x:c>
    </x:row>
    <x:row r="19" ht="48" customHeight="1">
      <x:c r="A19" s="30" t="n">
        <x:v>8</x:v>
      </x:c>
      <x:c r="B19" s="30" t="str">
        <x:v>Real-device access is available</x:v>
      </x:c>
      <x:c r="C19" s="30" t="str">
        <x:v>A Mac, test iPad and TestFlight access are available throughout development.</x:v>
      </x:c>
      <x:c r="D19" s="30" t="str">
        <x:v>External waiting time extends calendar duration.</x:v>
      </x:c>
    </x:row>
    <x:row r="22">
      <x:c r="A22" s="8" t="str">
        <x:v>Reference</x:v>
      </x:c>
      <x:c r="B22" s="8"/>
      <x:c r="C22" s="8" t="str">
        <x:v>URL</x:v>
      </x:c>
      <x:c r="D22" s="8"/>
    </x:row>
    <x:row r="23" ht="38" customHeight="1">
      <x:c r="A23" s="90" t="str">
        <x:v>Apple background downloads</x:v>
      </x:c>
      <x:c r="B23" s="90"/>
      <x:c r="C23" s="90" t="str">
        <x:v>https://developer.apple.com/documentation/foundation/downloading-files-in-the-background</x:v>
      </x:c>
      <x:c r="D23" s="90"/>
    </x:row>
    <x:row r="24" ht="38" customHeight="1">
      <x:c r="A24" s="90" t="str">
        <x:v>Apple background processing</x:v>
      </x:c>
      <x:c r="B24" s="90"/>
      <x:c r="C24" s="90" t="str">
        <x:v>https://developer.apple.com/documentation/backgroundtasks/bgprocessingtask</x:v>
      </x:c>
      <x:c r="D24" s="90"/>
    </x:row>
    <x:row r="25" ht="38" customHeight="1">
      <x:c r="A25" s="90" t="str">
        <x:v>ArcGIS scheduled offline updates</x:v>
      </x:c>
      <x:c r="B25" s="90"/>
      <x:c r="C25" s="90" t="str">
        <x:v>https://developers.arcgis.com/swift/v200/sample-code/apply-scheduled-updates-to-preplanned-map-area/</x:v>
      </x:c>
      <x:c r="D25" s="90"/>
    </x:row>
  </x:sheetData>
  <x:mergeCells>
    <x:mergeCell ref="A1:D1"/>
    <x:mergeCell ref="A4:C4"/>
    <x:mergeCell ref="A5:C5"/>
    <x:mergeCell ref="A6:C6"/>
    <x:mergeCell ref="A7:C7"/>
    <x:mergeCell ref="A8:C8"/>
    <x:mergeCell ref="A22:B22"/>
    <x:mergeCell ref="C22:D22"/>
    <x:mergeCell ref="A23:B23"/>
    <x:mergeCell ref="A24:B24"/>
    <x:mergeCell ref="A25:B25"/>
    <x:mergeCell ref="C23:D23"/>
    <x:mergeCell ref="C24:D24"/>
    <x:mergeCell ref="C25:D25"/>
  </x:mergeCells>
  <x:pageMargins left="0.7" right="0.7" top="0.75" bottom="0.75" header="0.3" footer="0.3"/>
</x:worksheet>
</file>