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nal Decision iOS" sheetId="1" state="visible" r:id="rId3"/>
    <sheet name="Windows Layers auto upd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<sst xmlns="http://schemas.openxmlformats.org/spreadsheetml/2006/main" count="21" uniqueCount="19">
  <si>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LIS iOS Implementation Estimate</t>
  </si>
  <si>
    <t xml:space="preserve">65-hour core iOS app + separate 15-hour automatic TPK/layers update module</t>
  </si>
  <si>
    <t xml:space="preserve">CORE IOS APP</t>
  </si>
  <si>
    <t xml:space="preserve">AUTO Layers UPDATE</t>
  </si>
  <si>
    <t xml:space="preserve">COMBINED BASELINE</t>
  </si>
  <si>
    <t xml:space="preserve">BUFFERED TOTAL</t>
  </si>
  <si>
    <t xml:space="preserve">Workstream</t>
  </si>
  <si>
    <t xml:space="preserve">Hours</t>
  </si>
  <si>
    <t xml:space="preserve">% Total</t>
  </si>
  <si>
    <t xml:space="preserve">Foundation</t>
  </si>
  <si>
    <t xml:space="preserve">Access &amp; Data</t>
  </si>
  <si>
    <t xml:space="preserve">Map &amp; Field Workflow</t>
  </si>
  <si>
    <t xml:space="preserve">Reliability &amp; Delivery</t>
  </si>
  <si>
    <t xml:space="preserve">Auto Layers Update</t>
  </si>
  <si>
    <t xml:space="preserve">Testing &amp; Release</t>
  </si>
  <si>
    <t xml:space="preserve">Auto Layers Update – Windows</t>
  </si>
  <si>
    <t xml:space="preserve">5 hours for online layers + 5 layers for offline layers</t>
  </si>
  <si>
    <t xml:space="preserve">Online Layers</t>
  </si>
  <si>
    <t xml:space="preserve">Offline Layers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</si>
</sst>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hrs&quot;"/>
    <numFmt numFmtId="166" formatCode="#,##0"/>
    <numFmt numFmtId="167" formatCode="0.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16324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20"/>
      <color rgb="FF16324F"/>
      <name val="Calibri"/>
      <family val="0"/>
      <charset val="1"/>
    </font>
    <font>
      <sz val="11"/>
      <color rgb="FF1F2937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324F"/>
        <bgColor rgb="FF1F2937"/>
      </patternFill>
    </fill>
    <fill>
      <patternFill patternType="solid">
        <fgColor rgb="FFEAF2FF"/>
        <bgColor rgb="FFF5F8FC"/>
      </patternFill>
    </fill>
    <fill>
      <patternFill patternType="solid">
        <fgColor rgb="FF246BFD"/>
        <bgColor rgb="FF0066CC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EAF2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 diagonalUp="false" diagonalDown="false">
      <left/>
      <right/>
      <top/>
      <bottom style="thin">
        <color rgb="FFD8E0EA"/>
      </bottom>
      <diagonal/>
    </border>
    <border diagonalUp="false" diagonalDown="false">
      <left/>
      <right/>
      <top style="thin">
        <color rgb="FFD8E0EA"/>
      </top>
      <bottom style="thin">
        <color rgb="FFD8E0EA"/>
      </bottom>
      <diagonal/>
    </border>
    <border diagonalUp="false" diagonalDown="false">
      <left/>
      <right/>
      <top style="thin">
        <color rgb="FFD8E0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6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6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6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6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6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6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EAF2FF"/>
      <rgbColor rgb="FF660066"/>
      <rgbColor rgb="FFFF8080"/>
      <rgbColor rgb="FF0066CC"/>
      <rgbColor rgb="FFD8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46BFD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5" activeCellId="0" sqref="F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.15"/>
    <col collapsed="false" customWidth="true" hidden="false" outlineLevel="0" max="3" min="3" style="1" width="11.16"/>
    <col collapsed="false" customWidth="true" hidden="false" outlineLevel="0" max="4" min="4" style="1" width="30"/>
    <col collapsed="false" customWidth="true" hidden="false" outlineLevel="0" max="6" min="5" style="1" width="13"/>
    <col collapsed="false" customWidth="true" hidden="false" outlineLevel="0" max="8" min="7" style="1" width="15"/>
  </cols>
  <sheetData>
    <row r="1" customFormat="false" ht="3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.8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customFormat="false" ht="13.8" hidden="false" customHeight="false" outlineLevel="0" collapsed="false">
      <c r="A4" s="5" t="s">
        <v>2</v>
      </c>
      <c r="B4" s="5"/>
      <c r="C4" s="5" t="s">
        <v>3</v>
      </c>
      <c r="D4" s="5"/>
      <c r="E4" s="5" t="s">
        <v>4</v>
      </c>
      <c r="F4" s="5"/>
      <c r="G4" s="5" t="s">
        <v>5</v>
      </c>
      <c r="H4" s="5"/>
    </row>
    <row r="5" customFormat="false" ht="12.8" hidden="false" customHeight="false" outlineLevel="0" collapsed="false">
      <c r="A5" s="6" t="n">
        <v>50</v>
      </c>
      <c r="B5" s="6"/>
      <c r="C5" s="6" t="n">
        <v>15</v>
      </c>
      <c r="D5" s="6"/>
      <c r="E5" s="6" t="n">
        <f aca="false">A5+C5</f>
        <v>65</v>
      </c>
      <c r="F5" s="6"/>
      <c r="G5" s="6" t="e">
        <f aca="false">E5*(1+#REF!)</f>
        <v>#REF!</v>
      </c>
      <c r="H5" s="6"/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2.8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customFormat="false" ht="13.8" hidden="false" customHeight="false" outlineLevel="0" collapsed="false">
      <c r="A8" s="7" t="s">
        <v>6</v>
      </c>
      <c r="B8" s="7" t="s">
        <v>7</v>
      </c>
      <c r="C8" s="7" t="s">
        <v>8</v>
      </c>
    </row>
    <row r="9" customFormat="false" ht="13.8" hidden="false" customHeight="false" outlineLevel="0" collapsed="false">
      <c r="A9" s="8" t="s">
        <v>9</v>
      </c>
      <c r="B9" s="9" t="n">
        <v>8</v>
      </c>
      <c r="C9" s="10" t="n">
        <f aca="false">B9/$E$5</f>
        <v>0.123076923076923</v>
      </c>
    </row>
    <row r="10" customFormat="false" ht="13.8" hidden="false" customHeight="false" outlineLevel="0" collapsed="false">
      <c r="A10" s="11" t="s">
        <v>10</v>
      </c>
      <c r="B10" s="12" t="n">
        <v>12</v>
      </c>
      <c r="C10" s="13" t="n">
        <f aca="false">B10/$E$5</f>
        <v>0.184615384615385</v>
      </c>
    </row>
    <row r="11" customFormat="false" ht="13.8" hidden="false" customHeight="false" outlineLevel="0" collapsed="false">
      <c r="A11" s="11" t="s">
        <v>11</v>
      </c>
      <c r="B11" s="12" t="n">
        <v>14</v>
      </c>
      <c r="C11" s="13" t="n">
        <f aca="false">B11/$E$5</f>
        <v>0.215384615384615</v>
      </c>
    </row>
    <row r="12" customFormat="false" ht="13.8" hidden="false" customHeight="false" outlineLevel="0" collapsed="false">
      <c r="A12" s="11" t="s">
        <v>12</v>
      </c>
      <c r="B12" s="12" t="n">
        <v>7</v>
      </c>
      <c r="C12" s="13" t="n">
        <f aca="false">B12/$E$5</f>
        <v>0.107692307692308</v>
      </c>
    </row>
    <row r="13" customFormat="false" ht="13.8" hidden="false" customHeight="false" outlineLevel="0" collapsed="false">
      <c r="A13" s="11" t="s">
        <v>13</v>
      </c>
      <c r="B13" s="12" t="n">
        <v>15</v>
      </c>
      <c r="C13" s="13" t="n">
        <f aca="false">B13/$E$5</f>
        <v>0.230769230769231</v>
      </c>
    </row>
    <row r="14" customFormat="false" ht="13.8" hidden="false" customHeight="false" outlineLevel="0" collapsed="false">
      <c r="A14" s="14" t="s">
        <v>14</v>
      </c>
      <c r="B14" s="15" t="n">
        <v>9</v>
      </c>
      <c r="C14" s="16" t="n">
        <f aca="false">B14/$E$5</f>
        <v>0.138461538461538</v>
      </c>
    </row>
    <row r="17" customFormat="false" ht="12.7" hidden="false" customHeight="true" outlineLevel="0" collapsed="false"/>
    <row r="18" customFormat="false" ht="14.05" hidden="false" customHeight="true" outlineLevel="0" collapsed="false"/>
    <row r="19" customFormat="false" ht="14.5" hidden="false" customHeight="true" outlineLevel="0" collapsed="false"/>
    <row r="20" customFormat="false" ht="14.5" hidden="false" customHeight="true" outlineLevel="0" collapsed="false"/>
  </sheetData>
  <mergeCells count="12">
    <mergeCell ref="A1:H1"/>
    <mergeCell ref="A2:H2"/>
    <mergeCell ref="A3:AO3"/>
    <mergeCell ref="A4:B4"/>
    <mergeCell ref="C4:D4"/>
    <mergeCell ref="E4:F4"/>
    <mergeCell ref="G4:H4"/>
    <mergeCell ref="A5:B6"/>
    <mergeCell ref="C5:D6"/>
    <mergeCell ref="E5:F6"/>
    <mergeCell ref="G5:H6"/>
    <mergeCell ref="A7:CC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sheetData>
    <row r="1" customFormat="false" ht="24.45" hidden="false" customHeight="false" outlineLevel="0" collapsed="false">
      <c r="A1" s="2" t="s">
        <v>15</v>
      </c>
      <c r="B1" s="2"/>
      <c r="C1" s="2"/>
      <c r="D1" s="2"/>
      <c r="E1" s="2"/>
      <c r="F1" s="2"/>
      <c r="G1" s="2"/>
      <c r="H1" s="2"/>
    </row>
    <row r="2" customFormat="false" ht="13.8" hidden="false" customHeight="false" outlineLevel="0" collapsed="false">
      <c r="A2" s="3" t="s">
        <v>16</v>
      </c>
      <c r="B2" s="3"/>
      <c r="C2" s="3"/>
      <c r="D2" s="3"/>
      <c r="E2" s="3"/>
      <c r="F2" s="3"/>
      <c r="G2" s="3"/>
      <c r="H2" s="3"/>
    </row>
    <row r="3" customFormat="false" ht="12.8" hidden="false" customHeight="true" outlineLevel="0" collapsed="false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 customFormat="false" ht="13.8" hidden="false" customHeight="false" outlineLevel="0" collapsed="false">
      <c r="A4" s="5" t="s">
        <v>17</v>
      </c>
      <c r="B4" s="5"/>
      <c r="C4" s="5" t="s">
        <v>18</v>
      </c>
      <c r="D4" s="5"/>
      <c r="E4" s="5" t="s">
        <v>4</v>
      </c>
      <c r="F4" s="5"/>
      <c r="G4" s="5" t="s">
        <v>5</v>
      </c>
      <c r="H4" s="5"/>
    </row>
    <row r="5" customFormat="false" ht="12.8" hidden="false" customHeight="false" outlineLevel="0" collapsed="false">
      <c r="A5" s="6" t="n">
        <v>5</v>
      </c>
      <c r="B5" s="6"/>
      <c r="C5" s="6" t="n">
        <v>5</v>
      </c>
      <c r="D5" s="6"/>
      <c r="E5" s="6" t="n">
        <f aca="false">A5+C5</f>
        <v>10</v>
      </c>
      <c r="F5" s="6"/>
      <c r="G5" s="6" t="e">
        <f aca="false">E5*(1+#REF!)</f>
        <v>#REF!</v>
      </c>
      <c r="H5" s="6"/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2.8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</row>
  </sheetData>
  <mergeCells count="12">
    <mergeCell ref="A1:H1"/>
    <mergeCell ref="A2:H2"/>
    <mergeCell ref="A3:AO3"/>
    <mergeCell ref="A4:B4"/>
    <mergeCell ref="C4:D4"/>
    <mergeCell ref="E4:F4"/>
    <mergeCell ref="G4:H4"/>
    <mergeCell ref="A5:B6"/>
    <mergeCell ref="C5:D6"/>
    <mergeCell ref="E5:F6"/>
    <mergeCell ref="G5:H6"/>
    <mergeCell ref="A7:CC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2026-07-17T10:41:23Z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